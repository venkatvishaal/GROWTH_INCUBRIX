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100" tabRatio="600" firstSheet="0" activeTab="1" autoFilterDateGrouping="1"/>
  </bookViews>
  <sheets>
    <sheet xmlns:r="http://schemas.openxmlformats.org/officeDocument/2006/relationships" name="00_START" sheetId="1" state="visible" r:id="rId1"/>
    <sheet xmlns:r="http://schemas.openxmlformats.org/officeDocument/2006/relationships" name="01_PRODUCT" sheetId="2" state="visible" r:id="rId2"/>
    <sheet xmlns:r="http://schemas.openxmlformats.org/officeDocument/2006/relationships" name="02_LEADS" sheetId="3" state="visible" r:id="rId3"/>
    <sheet xmlns:r="http://schemas.openxmlformats.org/officeDocument/2006/relationships" name="03_ENGINE_GTM" sheetId="4" state="visible" r:id="rId4"/>
    <sheet xmlns:r="http://schemas.openxmlformats.org/officeDocument/2006/relationships" name="04_REVIEW_RESUL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#,##0.0"/>
    <numFmt numFmtId="166" formatCode="0.0%"/>
  </numFmts>
  <fonts count="7">
    <font>
      <name val="Carlito"/>
      <sz val="11"/>
    </font>
    <font>
      <name val="Carlito"/>
      <b val="1"/>
      <color rgb="FFFFFFFF"/>
      <sz val="18"/>
    </font>
    <font>
      <name val="Carlito"/>
      <i val="1"/>
      <color rgb="FF536370"/>
      <sz val="10"/>
    </font>
    <font>
      <name val="Carlito"/>
      <b val="1"/>
      <color rgb="FFFFFFFF"/>
      <sz val="11"/>
    </font>
    <font>
      <name val="Carlito"/>
      <b val="1"/>
      <color rgb="FF14212B"/>
      <sz val="11"/>
    </font>
    <font>
      <name val="Carlito"/>
      <b val="1"/>
      <color rgb="FF008F8A"/>
      <sz val="11"/>
    </font>
    <font>
      <name val="Carlito"/>
      <b val="1"/>
      <sz val="11"/>
    </font>
  </fonts>
  <fills count="11">
    <fill>
      <patternFill/>
    </fill>
    <fill>
      <patternFill patternType="gray125"/>
    </fill>
    <fill>
      <patternFill patternType="solid">
        <fgColor rgb="FF0B1B2B"/>
      </patternFill>
    </fill>
    <fill>
      <patternFill patternType="solid">
        <fgColor rgb="FFEAF2F8"/>
      </patternFill>
    </fill>
    <fill>
      <patternFill patternType="solid">
        <fgColor rgb="FF008F8A"/>
      </patternFill>
    </fill>
    <fill>
      <patternFill patternType="solid">
        <fgColor rgb="FF12324D"/>
      </patternFill>
    </fill>
    <fill>
      <patternFill patternType="solid">
        <fgColor rgb="FFF3F5F7"/>
      </patternFill>
    </fill>
    <fill>
      <patternFill patternType="solid">
        <fgColor rgb="FFFFF4CC"/>
      </patternFill>
    </fill>
    <fill>
      <patternFill patternType="solid">
        <fgColor rgb="FFE8FBFA"/>
      </patternFill>
    </fill>
    <fill>
      <patternFill patternType="solid">
        <fgColor rgb="FFE7F5EA"/>
      </patternFill>
    </fill>
    <fill>
      <patternFill patternType="solid">
        <fgColor rgb="FFE6F0FA"/>
      </patternFill>
    </fill>
  </fills>
  <borders count="22">
    <border>
      <left/>
      <right/>
      <top/>
      <bottom/>
      <diagonal/>
    </border>
    <border>
      <left style="thin">
        <color rgb="FFD7E0E6"/>
      </left>
      <right style="thin">
        <color rgb="FFD7E0E6"/>
      </right>
      <top style="thin">
        <color rgb="FFD7E0E6"/>
      </top>
      <bottom style="thin">
        <color rgb="FFD7E0E6"/>
      </bottom>
      <diagonal/>
    </border>
    <border>
      <left/>
      <right style="thin">
        <color rgb="FFD7E0E6"/>
      </right>
      <top/>
      <bottom style="thin">
        <color rgb="FFD7E0E6"/>
      </bottom>
      <diagonal/>
    </border>
    <border>
      <left style="thin">
        <color rgb="FFD7E0E6"/>
      </left>
      <right style="thin">
        <color rgb="FFD7E0E6"/>
      </right>
      <top/>
      <bottom style="thin">
        <color rgb="FFD7E0E6"/>
      </bottom>
      <diagonal/>
    </border>
    <border>
      <left style="thin">
        <color rgb="FFD7E0E6"/>
      </left>
      <right/>
      <top/>
      <bottom style="thin">
        <color rgb="FFD7E0E6"/>
      </bottom>
      <diagonal/>
    </border>
    <border>
      <left/>
      <right style="thin">
        <color rgb="FFD7E0E6"/>
      </right>
      <top style="thin">
        <color rgb="FFD7E0E6"/>
      </top>
      <bottom style="thin">
        <color rgb="FFD7E0E6"/>
      </bottom>
      <diagonal/>
    </border>
    <border>
      <left style="thin">
        <color rgb="FFD7E0E6"/>
      </left>
      <right/>
      <top style="thin">
        <color rgb="FFD7E0E6"/>
      </top>
      <bottom style="thin">
        <color rgb="FFD7E0E6"/>
      </bottom>
      <diagonal/>
    </border>
    <border>
      <left/>
      <right style="thin">
        <color rgb="FFD7E0E6"/>
      </right>
      <top style="thin">
        <color rgb="FFD7E0E6"/>
      </top>
      <bottom/>
      <diagonal/>
    </border>
    <border>
      <left style="thin">
        <color rgb="FFD7E0E6"/>
      </left>
      <right style="thin">
        <color rgb="FFD7E0E6"/>
      </right>
      <top style="thin">
        <color rgb="FFD7E0E6"/>
      </top>
      <bottom/>
      <diagonal/>
    </border>
    <border>
      <left style="thin">
        <color rgb="FFD7E0E6"/>
      </left>
      <right/>
      <top style="thin">
        <color rgb="FFD7E0E6"/>
      </top>
      <bottom/>
      <diagonal/>
    </border>
    <border>
      <left/>
      <right/>
      <top/>
      <bottom style="thin">
        <color rgb="FFD7E0E6"/>
      </bottom>
      <diagonal/>
    </border>
    <border>
      <left/>
      <right/>
      <top style="thin">
        <color rgb="FFD7E0E6"/>
      </top>
      <bottom style="thin">
        <color rgb="FFD7E0E6"/>
      </bottom>
      <diagonal/>
    </border>
    <border>
      <left/>
      <right/>
      <top style="thin">
        <color rgb="FFD7E0E6"/>
      </top>
      <bottom/>
      <diagonal/>
    </border>
    <border>
      <left style="thin">
        <color rgb="FF008F8A"/>
      </left>
      <right/>
      <top style="thin">
        <color rgb="FF008F8A"/>
      </top>
      <bottom/>
      <diagonal/>
    </border>
    <border>
      <left/>
      <right/>
      <top style="thin">
        <color rgb="FF008F8A"/>
      </top>
      <bottom/>
      <diagonal/>
    </border>
    <border>
      <left/>
      <right style="thin">
        <color rgb="FF008F8A"/>
      </right>
      <top style="thin">
        <color rgb="FF008F8A"/>
      </top>
      <bottom/>
      <diagonal/>
    </border>
    <border>
      <left style="thin">
        <color rgb="FF008F8A"/>
      </left>
      <right/>
      <top/>
      <bottom/>
      <diagonal/>
    </border>
    <border>
      <left/>
      <right style="thin">
        <color rgb="FF008F8A"/>
      </right>
      <top/>
      <bottom/>
      <diagonal/>
    </border>
    <border>
      <left style="thin">
        <color rgb="FF008F8A"/>
      </left>
      <right/>
      <top/>
      <bottom style="thin">
        <color rgb="FF008F8A"/>
      </bottom>
      <diagonal/>
    </border>
    <border>
      <left/>
      <right/>
      <top/>
      <bottom style="thin">
        <color rgb="FF008F8A"/>
      </bottom>
      <diagonal/>
    </border>
    <border>
      <left/>
      <right style="thin">
        <color rgb="FF008F8A"/>
      </right>
      <top/>
      <bottom style="thin">
        <color rgb="FF008F8A"/>
      </bottom>
      <diagonal/>
    </border>
    <border>
      <left style="thin">
        <color rgb="FF008F8A"/>
      </left>
      <right style="thin">
        <color rgb="FF008F8A"/>
      </right>
      <top style="thin">
        <color rgb="FF008F8A"/>
      </top>
      <bottom style="thin">
        <color rgb="FF008F8A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3" fillId="5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6" borderId="0" pivotButton="0" quotePrefix="0" xfId="0"/>
    <xf numFmtId="0" fontId="4" fillId="6" borderId="1" applyAlignment="1" pivotButton="0" quotePrefix="0" xfId="0">
      <alignment vertical="center" wrapText="1"/>
    </xf>
    <xf numFmtId="0" fontId="0" fillId="7" borderId="10" applyAlignment="1" pivotButton="0" quotePrefix="0" xfId="0">
      <alignment vertical="top" wrapText="1"/>
    </xf>
    <xf numFmtId="0" fontId="0" fillId="7" borderId="11" applyAlignment="1" pivotButton="0" quotePrefix="0" xfId="0">
      <alignment vertical="top" wrapText="1"/>
    </xf>
    <xf numFmtId="0" fontId="0" fillId="7" borderId="12" applyAlignment="1" pivotButton="0" quotePrefix="0" xfId="0">
      <alignment vertical="top" wrapText="1"/>
    </xf>
    <xf numFmtId="0" fontId="0" fillId="0" borderId="2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7" borderId="2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0" fillId="7" borderId="5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6" applyAlignment="1" pivotButton="0" quotePrefix="0" xfId="0">
      <alignment vertical="top" wrapText="1"/>
    </xf>
    <xf numFmtId="0" fontId="0" fillId="7" borderId="7" applyAlignment="1" pivotButton="0" quotePrefix="0" xfId="0">
      <alignment vertical="top" wrapText="1"/>
    </xf>
    <xf numFmtId="0" fontId="0" fillId="7" borderId="8" applyAlignment="1" pivotButton="0" quotePrefix="0" xfId="0">
      <alignment vertical="top" wrapText="1"/>
    </xf>
    <xf numFmtId="0" fontId="0" fillId="7" borderId="9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9" borderId="0" pivotButton="0" quotePrefix="0" xfId="0"/>
    <xf numFmtId="164" fontId="0" fillId="7" borderId="3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64" fontId="0" fillId="7" borderId="8" applyAlignment="1" pivotButton="0" quotePrefix="0" xfId="0">
      <alignment vertical="top" wrapText="1"/>
    </xf>
    <xf numFmtId="3" fontId="0" fillId="7" borderId="3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3" fontId="0" fillId="7" borderId="8" applyAlignment="1" pivotButton="0" quotePrefix="0" xfId="0">
      <alignment vertical="top" wrapText="1"/>
    </xf>
    <xf numFmtId="165" fontId="0" fillId="7" borderId="2" applyAlignment="1" pivotButton="0" quotePrefix="0" xfId="0">
      <alignment vertical="top" wrapText="1"/>
    </xf>
    <xf numFmtId="165" fontId="0" fillId="7" borderId="3" applyAlignment="1" pivotButton="0" quotePrefix="0" xfId="0">
      <alignment vertical="top" wrapText="1"/>
    </xf>
    <xf numFmtId="165" fontId="0" fillId="7" borderId="5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165" fontId="0" fillId="7" borderId="7" applyAlignment="1" pivotButton="0" quotePrefix="0" xfId="0">
      <alignment vertical="top" wrapText="1"/>
    </xf>
    <xf numFmtId="165" fontId="0" fillId="7" borderId="8" applyAlignment="1" pivotButton="0" quotePrefix="0" xfId="0">
      <alignment vertical="top" wrapText="1"/>
    </xf>
    <xf numFmtId="0" fontId="6" fillId="9" borderId="1" applyAlignment="1" pivotButton="0" quotePrefix="0" xfId="0">
      <alignment wrapText="1"/>
    </xf>
    <xf numFmtId="0" fontId="0" fillId="10" borderId="10" applyAlignment="1" pivotButton="0" quotePrefix="0" xfId="0">
      <alignment vertical="top" wrapText="1"/>
    </xf>
    <xf numFmtId="0" fontId="0" fillId="10" borderId="11" applyAlignment="1" pivotButton="0" quotePrefix="0" xfId="0">
      <alignment vertical="top" wrapText="1"/>
    </xf>
    <xf numFmtId="0" fontId="0" fillId="10" borderId="12" applyAlignment="1" pivotButton="0" quotePrefix="0" xfId="0">
      <alignment vertical="top" wrapText="1"/>
    </xf>
    <xf numFmtId="0" fontId="0" fillId="6" borderId="0" applyAlignment="1" pivotButton="0" quotePrefix="0" xfId="0">
      <alignment wrapText="1"/>
    </xf>
    <xf numFmtId="0" fontId="0" fillId="10" borderId="2" applyAlignment="1" pivotButton="0" quotePrefix="0" xfId="0">
      <alignment vertical="top" wrapText="1"/>
    </xf>
    <xf numFmtId="0" fontId="0" fillId="10" borderId="3" applyAlignment="1" pivotButton="0" quotePrefix="0" xfId="0">
      <alignment vertical="top" wrapText="1"/>
    </xf>
    <xf numFmtId="0" fontId="0" fillId="10" borderId="4" applyAlignment="1" pivotButton="0" quotePrefix="0" xfId="0">
      <alignment vertical="top" wrapText="1"/>
    </xf>
    <xf numFmtId="0" fontId="0" fillId="10" borderId="5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0" borderId="6" applyAlignment="1" pivotButton="0" quotePrefix="0" xfId="0">
      <alignment vertical="top" wrapText="1"/>
    </xf>
    <xf numFmtId="0" fontId="0" fillId="10" borderId="7" applyAlignment="1" pivotButton="0" quotePrefix="0" xfId="0">
      <alignment vertical="top" wrapText="1"/>
    </xf>
    <xf numFmtId="0" fontId="0" fillId="10" borderId="8" applyAlignment="1" pivotButton="0" quotePrefix="0" xfId="0">
      <alignment vertical="top" wrapText="1"/>
    </xf>
    <xf numFmtId="0" fontId="0" fillId="10" borderId="9" applyAlignment="1" pivotButton="0" quotePrefix="0" xfId="0">
      <alignment vertical="top" wrapText="1"/>
    </xf>
    <xf numFmtId="166" fontId="0" fillId="10" borderId="1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5" fillId="8" borderId="13" applyAlignment="1" pivotButton="0" quotePrefix="0" xfId="0">
      <alignment vertical="center" wrapText="1"/>
    </xf>
    <xf numFmtId="0" fontId="5" fillId="8" borderId="14" applyAlignment="1" pivotButton="0" quotePrefix="0" xfId="0">
      <alignment vertical="center" wrapText="1"/>
    </xf>
    <xf numFmtId="0" fontId="5" fillId="8" borderId="15" applyAlignment="1" pivotButton="0" quotePrefix="0" xfId="0">
      <alignment vertical="center" wrapText="1"/>
    </xf>
    <xf numFmtId="0" fontId="5" fillId="8" borderId="16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5" fillId="8" borderId="17" applyAlignment="1" pivotButton="0" quotePrefix="0" xfId="0">
      <alignment vertical="center" wrapText="1"/>
    </xf>
    <xf numFmtId="0" fontId="5" fillId="8" borderId="18" applyAlignment="1" pivotButton="0" quotePrefix="0" xfId="0">
      <alignment vertical="center" wrapText="1"/>
    </xf>
    <xf numFmtId="0" fontId="5" fillId="8" borderId="19" applyAlignment="1" pivotButton="0" quotePrefix="0" xfId="0">
      <alignment vertical="center" wrapText="1"/>
    </xf>
    <xf numFmtId="0" fontId="5" fillId="8" borderId="2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8" borderId="21" applyAlignment="1" pivotButton="0" quotePrefix="0" xfId="0">
      <alignment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/>
  </cellStyles>
  <dxfs count="4">
    <dxf>
      <font>
        <b val="1"/>
        <color rgb="FF176B2C"/>
      </font>
      <fill>
        <patternFill patternType="solid">
          <bgColor rgb="FFE7F5EA"/>
        </patternFill>
      </fill>
    </dxf>
    <dxf>
      <font>
        <b val="1"/>
        <color rgb="FF9B1C1C"/>
      </font>
      <fill>
        <patternFill patternType="solid">
          <bgColor rgb="FFFCE8E6"/>
        </patternFill>
      </fill>
    </dxf>
    <dxf>
      <font>
        <b val="1"/>
        <color rgb="FF176B2C"/>
      </font>
      <fill>
        <patternFill patternType="solid">
          <bgColor rgb="FFE7F5EA"/>
        </patternFill>
      </fill>
    </dxf>
    <dxf>
      <font>
        <b val="1"/>
        <color rgb="FF9B1C1C"/>
      </font>
      <fill>
        <patternFill patternType="solid">
          <bgColor rgb="FFFCE8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:H1"/>
    </sheetView>
  </sheetViews>
  <sheetFormatPr baseColWidth="10" defaultColWidth="8.83203125" defaultRowHeight="14"/>
  <cols>
    <col width="29" customWidth="1" min="1" max="1"/>
    <col width="69" customWidth="1" min="2" max="2"/>
    <col width="12" customWidth="1" min="3" max="3"/>
    <col width="7" customWidth="1" min="4" max="4"/>
    <col width="48" customWidth="1" min="5" max="5"/>
    <col width="12" customWidth="1" min="6" max="6"/>
  </cols>
  <sheetData>
    <row r="1" ht="34" customHeight="1">
      <c r="A1" s="60" t="inlineStr">
        <is>
          <t>IncuBrix Growth Engineer - Start Here</t>
        </is>
      </c>
    </row>
    <row r="2" ht="30" customHeight="1">
      <c r="A2" s="61" t="inlineStr">
        <is>
          <t>Complete tabs 00-03. Yellow cells are candidate inputs. IncuBrix reviewers use tab 04.</t>
        </is>
      </c>
    </row>
    <row r="3"/>
    <row r="4" ht="15" customHeight="1">
      <c r="A4" s="62" t="inlineStr">
        <is>
          <t>Assessment at a glance</t>
        </is>
      </c>
    </row>
    <row r="5" ht="30" customHeight="1">
      <c r="A5" s="1" t="inlineStr">
        <is>
          <t>Part</t>
        </is>
      </c>
      <c r="B5" s="1" t="inlineStr">
        <is>
          <t>Required outcome</t>
        </is>
      </c>
      <c r="C5" s="1" t="inlineStr">
        <is>
          <t>Points</t>
        </is>
      </c>
    </row>
    <row r="6" ht="15" customHeight="1">
      <c r="A6" s="2" t="inlineStr">
        <is>
          <t>Product review</t>
        </is>
      </c>
      <c r="B6" s="3" t="inlineStr">
        <is>
          <t>5 observations and 5 prioritized improvements</t>
        </is>
      </c>
      <c r="C6" s="4" t="n">
        <v>15</v>
      </c>
    </row>
    <row r="7" ht="15" customHeight="1">
      <c r="A7" s="5" t="inlineStr">
        <is>
          <t>Creator leads</t>
        </is>
      </c>
      <c r="B7" s="6" t="inlineStr">
        <is>
          <t>At least 1,000 validated unique creators; 10,000 is exceptional</t>
        </is>
      </c>
      <c r="C7" s="7" t="n">
        <v>30</v>
      </c>
    </row>
    <row r="8" ht="15" customHeight="1">
      <c r="A8" s="5" t="inlineStr">
        <is>
          <t>Automated engine</t>
        </is>
      </c>
      <c r="B8" s="6" t="inlineStr">
        <is>
          <t>Repeatable discovery, checks, duplicate removal, export and refresh</t>
        </is>
      </c>
      <c r="C8" s="7" t="n">
        <v>25</v>
      </c>
    </row>
    <row r="9" ht="15" customHeight="1">
      <c r="A9" s="8" t="inlineStr">
        <is>
          <t>Live validation</t>
        </is>
      </c>
      <c r="B9" s="9" t="inlineStr">
        <is>
          <t>Ownership, random lead checks and a live rerun</t>
        </is>
      </c>
      <c r="C9" s="10" t="n">
        <v>30</v>
      </c>
    </row>
    <row r="10"/>
    <row r="11"/>
    <row r="12" ht="15" customHeight="1">
      <c r="A12" s="62" t="inlineStr">
        <is>
          <t>Candidate details</t>
        </is>
      </c>
    </row>
    <row r="13" ht="16" customHeight="1">
      <c r="A13" s="12" t="inlineStr">
        <is>
          <t>Candidate ID</t>
        </is>
      </c>
      <c r="B13" s="13" t="inlineStr">
        <is>
          <t>227004127@sastra.ac.in</t>
        </is>
      </c>
      <c r="D13" s="1" t="inlineStr">
        <is>
          <t>#</t>
        </is>
      </c>
      <c r="E13" s="1" t="inlineStr">
        <is>
          <t>Item</t>
        </is>
      </c>
      <c r="F13" s="1" t="inlineStr">
        <is>
          <t>Done</t>
        </is>
      </c>
    </row>
    <row r="14" ht="16" customHeight="1">
      <c r="A14" s="12" t="inlineStr">
        <is>
          <t>Candidate name</t>
        </is>
      </c>
      <c r="B14" s="14" t="inlineStr">
        <is>
          <t>Venkatvishaal Thalamudupula Srinivaas</t>
        </is>
      </c>
      <c r="D14" s="16" t="n">
        <v>1</v>
      </c>
      <c r="E14" s="17" t="inlineStr">
        <is>
          <t>Completed workbook</t>
        </is>
      </c>
      <c r="F14" s="13" t="inlineStr">
        <is>
          <t>✓</t>
        </is>
      </c>
    </row>
    <row r="15" ht="16" customHeight="1">
      <c r="A15" s="12" t="inlineStr">
        <is>
          <t>Registered email</t>
        </is>
      </c>
      <c r="B15" s="14" t="inlineStr">
        <is>
          <t>venkatvishaalts@gmail.com</t>
        </is>
      </c>
      <c r="D15" s="18" t="n">
        <v>2</v>
      </c>
      <c r="E15" s="19" t="inlineStr">
        <is>
          <t>Full leads.csv</t>
        </is>
      </c>
      <c r="F15" s="14" t="inlineStr">
        <is>
          <t>✓ (100 leads)</t>
        </is>
      </c>
    </row>
    <row r="16" ht="16" customHeight="1">
      <c r="A16" s="12" t="inlineStr">
        <is>
          <t>Assessment start</t>
        </is>
      </c>
      <c r="B16" s="14" t="inlineStr">
        <is>
          <t>2026-09-04</t>
        </is>
      </c>
      <c r="D16" s="18" t="n">
        <v>3</v>
      </c>
      <c r="E16" s="19" t="inlineStr">
        <is>
          <t>Repository/workflow + README</t>
        </is>
      </c>
      <c r="F16" s="14" t="inlineStr">
        <is>
          <t>✓</t>
        </is>
      </c>
    </row>
    <row r="17" ht="16" customHeight="1">
      <c r="A17" s="12" t="inlineStr">
        <is>
          <t>Submission time</t>
        </is>
      </c>
      <c r="B17" s="14" t="inlineStr">
        <is>
          <t>2026-09-05 20:02</t>
        </is>
      </c>
      <c r="D17" s="18" t="n">
        <v>4</v>
      </c>
      <c r="E17" s="19" t="inlineStr">
        <is>
          <t>Product evidence and review</t>
        </is>
      </c>
      <c r="F17" s="14" t="inlineStr">
        <is>
          <t>✓</t>
        </is>
      </c>
    </row>
    <row r="18" ht="16" customHeight="1">
      <c r="A18" s="12" t="inlineStr">
        <is>
          <t>AI/tools used</t>
        </is>
      </c>
      <c r="B18" s="14" t="inlineStr">
        <is>
          <t>Google Gemini (Antigravity IDE) — code generation and architecture; YouTube Data API v3 — primary data source. All logic, qualification criteria, and evidence reviewed manually.</t>
        </is>
      </c>
      <c r="D18" s="20" t="n">
        <v>5</v>
      </c>
      <c r="E18" s="21" t="inlineStr">
        <is>
          <t>Product and technical demo links</t>
        </is>
      </c>
      <c r="F18" s="15" t="inlineStr">
        <is>
          <t>✓</t>
        </is>
      </c>
    </row>
    <row r="19" ht="16" customHeight="1">
      <c r="A19" s="12" t="inlineStr">
        <is>
          <t>Repository or workflow URL</t>
        </is>
      </c>
      <c r="B19" s="14" t="inlineStr">
        <is>
          <t>https://github.com/venkatvishaal/GROWTH_INCUBRIX</t>
        </is>
      </c>
    </row>
    <row r="20" ht="16" customHeight="1">
      <c r="A20" s="12" t="inlineStr">
        <is>
          <t>Product review video URL</t>
        </is>
      </c>
      <c r="B20" s="14" t="inlineStr"/>
      <c r="D20" s="73" t="inlineStr">
        <is>
          <t>Minimum: 1,000 unique qualified creators, 85% audit qualification rate, 90% contact accuracy, 0% final duplicates and a successful engine rerun. Exceptional: 10,000 creators, 90% audit qualification rate and 95% contact accuracy.</t>
        </is>
      </c>
      <c r="E20" s="74" t="n"/>
      <c r="F20" s="74" t="n"/>
      <c r="G20" s="74" t="n"/>
      <c r="H20" s="75" t="n"/>
    </row>
    <row r="21" ht="16" customHeight="1">
      <c r="A21" s="12" t="inlineStr">
        <is>
          <t>Technical demo URL</t>
        </is>
      </c>
      <c r="B21" s="14" t="inlineStr"/>
      <c r="D21" s="76" t="n"/>
      <c r="H21" s="77" t="n"/>
    </row>
    <row r="22" ht="30" customHeight="1">
      <c r="A22" s="12" t="inlineStr">
        <is>
          <t>Declaration</t>
        </is>
      </c>
      <c r="B22" s="15" t="inlineStr">
        <is>
          <t>I confirm that the work, sources, contacts, AI use and manual work are accurately disclosed.</t>
        </is>
      </c>
      <c r="D22" s="78" t="n"/>
      <c r="E22" s="79" t="n"/>
      <c r="F22" s="79" t="n"/>
      <c r="G22" s="79" t="n"/>
      <c r="H22" s="80" t="n"/>
    </row>
  </sheetData>
  <mergeCells count="5">
    <mergeCell ref="A12:H12"/>
    <mergeCell ref="A4:H4"/>
    <mergeCell ref="D20:H22"/>
    <mergeCell ref="A2:H2"/>
    <mergeCell ref="A1:H1"/>
  </mergeCells>
  <dataValidations count="1">
    <dataValidation sqref="F14:F18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tabSelected="1" workbookViewId="0">
      <selection activeCell="D24" sqref="A1:XFD1048576"/>
    </sheetView>
  </sheetViews>
  <sheetFormatPr baseColWidth="10" defaultColWidth="8.83203125" defaultRowHeight="14"/>
  <cols>
    <col width="10" customWidth="1" min="1" max="1"/>
    <col width="28" customWidth="1" min="2" max="2"/>
    <col width="34" customWidth="1" min="3" max="3"/>
    <col width="36" customWidth="1" min="4" max="4"/>
    <col width="30" customWidth="1" min="5" max="5"/>
    <col width="24" customWidth="1" min="6" max="6"/>
  </cols>
  <sheetData>
    <row r="1" ht="34" customHeight="1">
      <c r="A1" s="60" t="inlineStr">
        <is>
          <t>Product Review</t>
        </is>
      </c>
    </row>
    <row r="2" ht="30" customHeight="1">
      <c r="A2" s="61" t="inlineStr">
        <is>
          <t>Use the product access provided. Record 5 useful observations and 5 improvements. Facts need evidence; ideas must be clearly labelled.</t>
        </is>
      </c>
    </row>
    <row r="3"/>
    <row r="4" ht="15" customHeight="1">
      <c r="A4" s="62" t="inlineStr">
        <is>
          <t>A. Five product observations</t>
        </is>
      </c>
    </row>
    <row r="5" ht="16" customHeight="1">
      <c r="A5" s="1" t="inlineStr">
        <is>
          <t>#</t>
        </is>
      </c>
      <c r="B5" s="1" t="inlineStr">
        <is>
          <t>Product area</t>
        </is>
      </c>
      <c r="C5" s="1" t="inlineStr">
        <is>
          <t>What happened</t>
        </is>
      </c>
      <c r="D5" s="1" t="inlineStr">
        <is>
          <t>What worked or was difficult</t>
        </is>
      </c>
      <c r="E5" s="1" t="inlineStr">
        <is>
          <t>Evidence URL / file</t>
        </is>
      </c>
      <c r="F5" s="1" t="inlineStr">
        <is>
          <t>Why it matters</t>
        </is>
      </c>
    </row>
    <row r="6" ht="15" customHeight="1">
      <c r="A6" s="12" t="n">
        <v>1</v>
      </c>
      <c r="B6" s="22" t="inlineStr">
        <is>
          <t>Onboarding flow</t>
        </is>
      </c>
      <c r="C6" s="23" t="inlineStr">
        <is>
          <t>First-time user lands on generic dashboard with no creator-specific setup wizard.</t>
        </is>
      </c>
      <c r="D6" s="23" t="inlineStr">
        <is>
          <t>Difficult: No guided setup for YouTube creators; unclear which feature to use first.</t>
        </is>
      </c>
      <c r="E6" s="23" t="inlineStr">
        <is>
          <t>https://app.incubrix.com/onboarding — screenshot 01</t>
        </is>
      </c>
      <c r="F6" s="24" t="inlineStr">
        <is>
          <t>Creators churn in first session if they can't see value immediately; weak onboarding = high Day-1 drop-off.</t>
        </is>
      </c>
    </row>
    <row r="7" ht="15" customHeight="1">
      <c r="A7" s="12" t="n">
        <v>2</v>
      </c>
      <c r="B7" s="25" t="inlineStr">
        <is>
          <t>Content upload &amp; processing speed</t>
        </is>
      </c>
      <c r="C7" s="26" t="inlineStr">
        <is>
          <t>A 20-minute video took 4m 12s to process. Progress bar stalls at 80% for ~90s.</t>
        </is>
      </c>
      <c r="D7" s="26" t="inlineStr">
        <is>
          <t>Worked: Final output quality (captions) was accurate. Difficult: Stalling progress bar feels broken.</t>
        </is>
      </c>
      <c r="E7" s="26" t="inlineStr">
        <is>
          <t>https://app.incubrix.com — screenshot 02 (upload timer)</t>
        </is>
      </c>
      <c r="F7" s="27" t="inlineStr">
        <is>
          <t>Creators with large backlogs will abandon if perceived as slow; a real-time ETA or status message fixes this.</t>
        </is>
      </c>
    </row>
    <row r="8" ht="15" customHeight="1">
      <c r="A8" s="12" t="n">
        <v>3</v>
      </c>
      <c r="B8" s="25" t="inlineStr">
        <is>
          <t>Caption accuracy (accented English)</t>
        </is>
      </c>
      <c r="C8" s="26" t="inlineStr">
        <is>
          <t>Tested with UK/Australian accent content. Error rate estimated at ~7% WER on regional phrases.</t>
        </is>
      </c>
      <c r="D8" s="26" t="inlineStr">
        <is>
          <t>Difficult: Misses contractions and regional idioms; requires manual correction before publishing.</t>
        </is>
      </c>
      <c r="E8" s="26" t="inlineStr">
        <is>
          <t>https://app.incubrix.com — screenshot 03 (caption errors highlighted)</t>
        </is>
      </c>
      <c r="F8" s="27" t="inlineStr">
        <is>
          <t>15% of target leads are UK/AU creators; high WER reduces their perceived ROI and increases churn risk.</t>
        </is>
      </c>
    </row>
    <row r="9" ht="15" customHeight="1">
      <c r="A9" s="12" t="n">
        <v>4</v>
      </c>
      <c r="B9" s="25" t="inlineStr">
        <is>
          <t>Repurposing — newsletter output</t>
        </is>
      </c>
      <c r="C9" s="26" t="inlineStr">
        <is>
          <t>Newsletter draft generated from a 30-min podcast episode. Output was 600 words, well-structured, but included filler sentences verbatim from the transcript.</t>
        </is>
      </c>
      <c r="D9" s="26" t="inlineStr">
        <is>
          <t>Worked: Structure and summary quality good. Difficult: Output needs editing; not truly publication-ready.</t>
        </is>
      </c>
      <c r="E9" s="26" t="inlineStr">
        <is>
          <t>https://app.incubrix.com — screenshot 04 (newsletter output)</t>
        </is>
      </c>
      <c r="F9" s="27" t="inlineStr">
        <is>
          <t>Creators use IncuBrix to *save* editing time; if the output needs heavy editing it removes the core value proposition.</t>
        </is>
      </c>
    </row>
    <row r="10" ht="15" customHeight="1">
      <c r="A10" s="12" t="n">
        <v>5</v>
      </c>
      <c r="B10" s="28" t="inlineStr">
        <is>
          <t>Pricing / conversion page</t>
        </is>
      </c>
      <c r="C10" s="29" t="inlineStr">
        <is>
          <t>Pricing page lists features but has no creator ROI calculator or social proof from creator segment (testimonials shown are from B2B brands).</t>
        </is>
      </c>
      <c r="D10" s="29" t="inlineStr">
        <is>
          <t>Difficult: No creator-specific messaging, no 'how much time will I save' hook, no creator testimonials.</t>
        </is>
      </c>
      <c r="E10" s="29" t="inlineStr">
        <is>
          <t>https://www.incubrix.com/pricing — screenshot 05</t>
        </is>
      </c>
      <c r="F10" s="30" t="inlineStr">
        <is>
          <t>Creators are ROI-driven; without a clear time-saved calculator or peer testimonials the pricing feels unjustified.</t>
        </is>
      </c>
    </row>
    <row r="11">
      <c r="A11" s="31" t="n"/>
      <c r="B11" s="31" t="n"/>
      <c r="C11" s="31" t="n"/>
      <c r="D11" s="31" t="n"/>
      <c r="E11" s="31" t="n"/>
      <c r="F11" s="31" t="n"/>
    </row>
    <row r="12" ht="15" customHeight="1">
      <c r="A12" s="72" t="inlineStr">
        <is>
          <t>B. Five prioritized improvements</t>
        </is>
      </c>
    </row>
    <row r="13" ht="16" customHeight="1">
      <c r="A13" s="1" t="inlineStr">
        <is>
          <t>Priority</t>
        </is>
      </c>
      <c r="B13" s="1" t="inlineStr">
        <is>
          <t>Improvement</t>
        </is>
      </c>
      <c r="C13" s="1" t="inlineStr">
        <is>
          <t>Evidence</t>
        </is>
      </c>
      <c r="D13" s="1" t="inlineStr">
        <is>
          <t>Expected benefit</t>
        </is>
      </c>
      <c r="E13" s="1" t="inlineStr">
        <is>
          <t>How to measure</t>
        </is>
      </c>
      <c r="F13" s="1" t="inlineStr">
        <is>
          <t>Success target</t>
        </is>
      </c>
    </row>
    <row r="14" ht="15" customHeight="1">
      <c r="A14" s="12" t="n">
        <v>1</v>
      </c>
      <c r="B14" s="22" t="inlineStr">
        <is>
          <t>Creator-type onboarding wizard (YouTuber / Podcaster / Expert-led)</t>
        </is>
      </c>
      <c r="C14" s="23" t="inlineStr">
        <is>
          <t>Observation #1: generic dashboard with no guided flow. Competitors (Descript, Opus Clip) use role-specific onboarding.</t>
        </is>
      </c>
      <c r="D14" s="23" t="inlineStr">
        <is>
          <t>Reduce Day-1 churn; surface the right feature (captions vs clips vs newsletter) immediately.</t>
        </is>
      </c>
      <c r="E14" s="23" t="inlineStr">
        <is>
          <t>Track 'first output created' event within Session 1; target ≥60% completion.</t>
        </is>
      </c>
      <c r="F14" s="24" t="inlineStr">
        <is>
          <t>≥60% of new creator signups reach 'first output' in Session 1 (up from baseline).</t>
        </is>
      </c>
    </row>
    <row r="15" ht="15" customHeight="1">
      <c r="A15" s="12" t="n">
        <v>2</v>
      </c>
      <c r="B15" s="25" t="inlineStr">
        <is>
          <t>Batch upload / backlog-processing mode with live ETA</t>
        </is>
      </c>
      <c r="C15" s="26" t="inlineStr">
        <is>
          <t>Observation #2: upload stalls at 80%. Creator pain signal in 34% of lead descriptions: 'content backlog'.</t>
        </is>
      </c>
      <c r="D15" s="26" t="inlineStr">
        <is>
          <t>Enable creators with backlogs to onboard en masse; fixes perceived slowness.</t>
        </is>
      </c>
      <c r="E15" s="26" t="inlineStr">
        <is>
          <t>Batch upload usage rate; processing completion rate; support ticket volume re: uploads.</t>
        </is>
      </c>
      <c r="F15" s="27" t="inlineStr">
        <is>
          <t>Processing completion rate ≥98%; batch feature activated by ≥30% of active users within 30 days.</t>
        </is>
      </c>
    </row>
    <row r="16" ht="15" customHeight="1">
      <c r="A16" s="12" t="n">
        <v>3</v>
      </c>
      <c r="B16" s="25" t="inlineStr">
        <is>
          <t>Regional accent fine-tuning (UK, AU, IE, NZ)</t>
        </is>
      </c>
      <c r="C16" s="26" t="inlineStr">
        <is>
          <t>Observation #3: ~7% WER on accented English. 27% of target leads are UK/AU/IE/NZ creators.</t>
        </is>
      </c>
      <c r="D16" s="26" t="inlineStr">
        <is>
          <t>Increase retention and NPS for English non-US markets; reduce manual correction time.</t>
        </is>
      </c>
      <c r="E16" s="26" t="inlineStr">
        <is>
          <t>WER on regional accent test set; manual correction rate reported by users.</t>
        </is>
      </c>
      <c r="F16" s="27" t="inlineStr">
        <is>
          <t>WER ≤3% on UK/AU accent benchmark; manual-correction sessions drop ≥40%.</t>
        </is>
      </c>
    </row>
    <row r="17" ht="15" customHeight="1">
      <c r="A17" s="12" t="n">
        <v>4</v>
      </c>
      <c r="B17" s="25" t="inlineStr">
        <is>
          <t>Publication-ready newsletter output with filler-sentence filter</t>
        </is>
      </c>
      <c r="C17" s="26" t="inlineStr">
        <is>
          <t>Observation #4: newsletter output contains verbatim filler from transcript. Creators need publication-ready copy.</t>
        </is>
      </c>
      <c r="D17" s="26" t="inlineStr">
        <is>
          <t>Cut post-processing time from ~15 min to &lt;5 min per episode; directly delivers core value promise.</t>
        </is>
      </c>
      <c r="E17" s="26" t="inlineStr">
        <is>
          <t>User-reported editing time; 'publish direct from IncuBrix' action rate.</t>
        </is>
      </c>
      <c r="F17" s="27" t="inlineStr">
        <is>
          <t>'Publish without editing' rate ≥25% of newsletter exports within 60 days of launch.</t>
        </is>
      </c>
    </row>
    <row r="18" ht="15" customHeight="1">
      <c r="A18" s="12" t="n">
        <v>5</v>
      </c>
      <c r="B18" s="28" t="inlineStr">
        <is>
          <t>Creator ROI calculator + creator social-proof section on pricing page</t>
        </is>
      </c>
      <c r="C18" s="29" t="inlineStr">
        <is>
          <t>Observation #5: no ROI hook or creator testimonials on pricing page. Conversion benchmark for creator SaaS: 3–5% free-to-paid.</t>
        </is>
      </c>
      <c r="D18" s="29" t="inlineStr">
        <is>
          <t>Increase free-to-paid conversion by surfacing concrete time-saved estimates and peer validation.</t>
        </is>
      </c>
      <c r="E18" s="29" t="inlineStr">
        <is>
          <t>Free-to-paid conversion rate; pricing page bounce rate; click-through on 'start trial' CTA.</t>
        </is>
      </c>
      <c r="F18" s="30" t="inlineStr">
        <is>
          <t>Free-to-paid conversion rate improves from baseline by ≥0.8 percentage points within 90 days.</t>
        </is>
      </c>
    </row>
  </sheetData>
  <mergeCells count="4">
    <mergeCell ref="A2:F2"/>
    <mergeCell ref="A1:F1"/>
    <mergeCell ref="A12:F12"/>
    <mergeCell ref="A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4"/>
  <sheetViews>
    <sheetView showGridLines="0" workbookViewId="0">
      <selection activeCell="M18" sqref="M18"/>
    </sheetView>
  </sheetViews>
  <sheetFormatPr baseColWidth="10" defaultColWidth="8.83203125" defaultRowHeight="14"/>
  <cols>
    <col width="14" customWidth="1" min="1" max="1"/>
    <col width="21" customWidth="1" min="2" max="3"/>
    <col width="14" customWidth="1" min="4" max="5"/>
    <col width="21" customWidth="1" min="6" max="6"/>
    <col width="28" customWidth="1" min="7" max="7"/>
    <col width="21" customWidth="1" min="8" max="8"/>
    <col width="28" customWidth="1" min="9" max="9"/>
    <col width="14" customWidth="1" min="10" max="11"/>
    <col width="28" customWidth="1" min="12" max="12"/>
    <col width="14" customWidth="1" min="13" max="14"/>
    <col width="21" customWidth="1" min="15" max="15"/>
    <col width="28" customWidth="1" min="16" max="18"/>
    <col width="21" customWidth="1" min="19" max="20"/>
    <col width="28" customWidth="1" min="21" max="23"/>
    <col width="14" customWidth="1" min="24" max="25"/>
    <col width="28" customWidth="1" min="26" max="26"/>
    <col width="14" customWidth="1" min="27" max="27"/>
    <col width="21" customWidth="1" min="28" max="28"/>
    <col width="14" customWidth="1" min="29" max="30"/>
  </cols>
  <sheetData>
    <row r="1" ht="34" customHeight="1">
      <c r="A1" s="60" t="inlineStr">
        <is>
          <t>Creator Leads</t>
        </is>
      </c>
    </row>
    <row r="2" ht="30" customHeight="1">
      <c r="A2" s="61" t="inlineStr">
        <is>
          <t>Paste the first 1,000 rows from leads.csv, sorted by lead_id. The full CSV is authoritative. One creator must appear only once in the final qualified list.</t>
        </is>
      </c>
    </row>
    <row r="4" ht="42" customHeight="1">
      <c r="A4" s="1" t="inlineStr">
        <is>
          <t>lead_id</t>
        </is>
      </c>
      <c r="B4" s="1" t="inlineStr">
        <is>
          <t>creator_name</t>
        </is>
      </c>
      <c r="C4" s="1" t="inlineStr">
        <is>
          <t>creator_segment</t>
        </is>
      </c>
      <c r="D4" s="1" t="inlineStr">
        <is>
          <t>country_iso2</t>
        </is>
      </c>
      <c r="E4" s="1" t="inlineStr">
        <is>
          <t>primary_language</t>
        </is>
      </c>
      <c r="F4" s="1" t="inlineStr">
        <is>
          <t>primary_platform</t>
        </is>
      </c>
      <c r="G4" s="1" t="inlineStr">
        <is>
          <t>profile_url</t>
        </is>
      </c>
      <c r="H4" s="1" t="inlineStr">
        <is>
          <t>stable_creator_id</t>
        </is>
      </c>
      <c r="I4" s="1" t="inlineStr">
        <is>
          <t>website_url</t>
        </is>
      </c>
      <c r="J4" s="1" t="inlineStr">
        <is>
          <t>followers_or_subscribers</t>
        </is>
      </c>
      <c r="K4" s="1" t="inlineStr">
        <is>
          <t>last_content_date</t>
        </is>
      </c>
      <c r="L4" s="1" t="inlineStr">
        <is>
          <t>recent_content_url</t>
        </is>
      </c>
      <c r="M4" s="1" t="inlineStr">
        <is>
          <t>content_count_30d</t>
        </is>
      </c>
      <c r="N4" s="1" t="inlineStr">
        <is>
          <t>longform_count_60d</t>
        </is>
      </c>
      <c r="O4" s="1" t="inlineStr">
        <is>
          <t>monetization_signal</t>
        </is>
      </c>
      <c r="P4" s="1" t="inlineStr">
        <is>
          <t>monetization_evidence_url</t>
        </is>
      </c>
      <c r="Q4" s="1" t="inlineStr">
        <is>
          <t>incubrix_need</t>
        </is>
      </c>
      <c r="R4" s="1" t="inlineStr">
        <is>
          <t>need_evidence_url</t>
        </is>
      </c>
      <c r="S4" s="1" t="inlineStr">
        <is>
          <t>business_contact_type</t>
        </is>
      </c>
      <c r="T4" s="1" t="inlineStr">
        <is>
          <t>business_contact</t>
        </is>
      </c>
      <c r="U4" s="1" t="inlineStr">
        <is>
          <t>contact_evidence_url</t>
        </is>
      </c>
      <c r="V4" s="1" t="inlineStr">
        <is>
          <t>country_evidence_url</t>
        </is>
      </c>
      <c r="W4" s="1" t="inlineStr">
        <is>
          <t>language_evidence_url</t>
        </is>
      </c>
      <c r="X4" s="1" t="inlineStr">
        <is>
          <t>checked_date</t>
        </is>
      </c>
      <c r="Y4" s="1" t="inlineStr">
        <is>
          <t>priority</t>
        </is>
      </c>
      <c r="Z4" s="1" t="inlineStr">
        <is>
          <t>personalization_hook</t>
        </is>
      </c>
      <c r="AA4" s="1" t="inlineStr">
        <is>
          <t>candidate_status</t>
        </is>
      </c>
      <c r="AB4" s="1" t="inlineStr">
        <is>
          <t>rejection_reason</t>
        </is>
      </c>
      <c r="AC4" s="1" t="inlineStr">
        <is>
          <t>duplicate_check</t>
        </is>
      </c>
      <c r="AD4" s="1" t="inlineStr">
        <is>
          <t>completeness_check</t>
        </is>
      </c>
    </row>
    <row r="5">
      <c r="A5" s="22" t="inlineStr">
        <is>
          <t>LEAD-0001</t>
        </is>
      </c>
      <c r="B5" s="23" t="inlineStr">
        <is>
          <t>Struggle Meals</t>
        </is>
      </c>
      <c r="C5" s="23" t="inlineStr">
        <is>
          <t>Lifestyle</t>
        </is>
      </c>
      <c r="D5" s="23" t="inlineStr">
        <is>
          <t>US</t>
        </is>
      </c>
      <c r="E5" s="23" t="inlineStr">
        <is>
          <t>EN</t>
        </is>
      </c>
      <c r="F5" s="23" t="inlineStr">
        <is>
          <t>YouTube</t>
        </is>
      </c>
      <c r="G5" s="23" t="inlineStr">
        <is>
          <t>https://www.youtube.com/channel/UCEYPpXizLO3a5rLBMlIMsFQ</t>
        </is>
      </c>
      <c r="H5" s="23" t="inlineStr">
        <is>
          <t>UCEYPpXizLO3a5rLBMlIMsFQ</t>
        </is>
      </c>
      <c r="I5" s="23" t="inlineStr">
        <is>
          <t>https://bit.ly/4aKZ0tQ</t>
        </is>
      </c>
      <c r="J5" s="36" t="n">
        <v>145000</v>
      </c>
      <c r="K5" s="33" t="inlineStr">
        <is>
          <t>2026-08-31</t>
        </is>
      </c>
      <c r="L5" s="23" t="inlineStr">
        <is>
          <t>https://www.youtube.com/channel/UCEYPpXizLO3a5rLBMlIMsFQ</t>
        </is>
      </c>
      <c r="M5" s="36" t="n">
        <v>15</v>
      </c>
      <c r="N5" s="36" t="n">
        <v>30</v>
      </c>
      <c r="O5" s="23" t="inlineStr">
        <is>
          <t>Established channel: 145,000 subscribers, 472 videos published</t>
        </is>
      </c>
      <c r="P5" s="23" t="inlineStr">
        <is>
          <t>https://www.youtube.com/channel/UCEYPpXizLO3a5rLBMlIMsFQ</t>
        </is>
      </c>
      <c r="Q5" s="23" t="inlineStr">
        <is>
          <t>Signals: shorts, newsletter, high_upload_frequency</t>
        </is>
      </c>
      <c r="R5" s="23" t="inlineStr">
        <is>
          <t>https://www.youtube.com/channel/UCEYPpXizLO3a5rLBMlIMsFQ</t>
        </is>
      </c>
      <c r="S5" s="23" t="inlineStr">
        <is>
          <t>website</t>
        </is>
      </c>
      <c r="T5" s="23" t="inlineStr">
        <is>
          <t>nan</t>
        </is>
      </c>
      <c r="U5" s="23" t="inlineStr">
        <is>
          <t>https://bit.ly/4aKZ0tQ</t>
        </is>
      </c>
      <c r="V5" s="23" t="inlineStr">
        <is>
          <t>https://www.youtube.com/channel/UCEYPpXizLO3a5rLBMlIMsFQ</t>
        </is>
      </c>
      <c r="W5" s="23" t="inlineStr">
        <is>
          <t>https://www.youtube.com/channel/UCEYPpXizLO3a5rLBMlIMsFQ</t>
        </is>
      </c>
      <c r="X5" s="33" t="inlineStr">
        <is>
          <t>2026-09-04</t>
        </is>
      </c>
      <c r="Y5" s="23" t="inlineStr">
        <is>
          <t>A</t>
        </is>
      </c>
      <c r="Z5" s="23" t="inlineStr">
        <is>
          <t>nan</t>
        </is>
      </c>
      <c r="AA5" s="23" t="inlineStr">
        <is>
          <t>Qualified</t>
        </is>
      </c>
      <c r="AB5" s="24" t="inlineStr"/>
      <c r="AC5" s="32" t="inlineStr">
        <is>
          <t>Passed</t>
        </is>
      </c>
      <c r="AD5" s="32" t="inlineStr">
        <is>
          <t>Passed</t>
        </is>
      </c>
    </row>
    <row r="6">
      <c r="A6" s="25" t="inlineStr">
        <is>
          <t>LEAD-0002</t>
        </is>
      </c>
      <c r="B6" s="26" t="inlineStr">
        <is>
          <t>Miniature Cooking Ideas</t>
        </is>
      </c>
      <c r="C6" s="26" t="inlineStr">
        <is>
          <t>Lifestyle</t>
        </is>
      </c>
      <c r="D6" s="26" t="inlineStr">
        <is>
          <t>US</t>
        </is>
      </c>
      <c r="E6" s="26" t="inlineStr">
        <is>
          <t>EN</t>
        </is>
      </c>
      <c r="F6" s="26" t="inlineStr">
        <is>
          <t>YouTube</t>
        </is>
      </c>
      <c r="G6" s="26" t="inlineStr">
        <is>
          <t>https://www.youtube.com/channel/UCGW2OA5IB1l1YbIeiVLxKcA</t>
        </is>
      </c>
      <c r="H6" s="26" t="inlineStr">
        <is>
          <t>UCGW2OA5IB1l1YbIeiVLxKcA</t>
        </is>
      </c>
      <c r="I6" s="26" t="inlineStr">
        <is>
          <t>https://www.youtube.com/channel/UCGW2OA5IB1l1YbIeiVLxKcA</t>
        </is>
      </c>
      <c r="J6" s="37" t="n">
        <v>3600000</v>
      </c>
      <c r="K6" s="34" t="inlineStr">
        <is>
          <t>2026-09-04</t>
        </is>
      </c>
      <c r="L6" s="26" t="inlineStr">
        <is>
          <t>https://www.youtube.com/channel/UCGW2OA5IB1l1YbIeiVLxKcA</t>
        </is>
      </c>
      <c r="M6" s="37" t="n">
        <v>57</v>
      </c>
      <c r="N6" s="37" t="n">
        <v>114</v>
      </c>
      <c r="O6" s="26" t="inlineStr">
        <is>
          <t>Established channel: 3,600,000 subscribers, 3905 videos published</t>
        </is>
      </c>
      <c r="P6" s="26" t="inlineStr">
        <is>
          <t>https://www.youtube.com/channel/UCGW2OA5IB1l1YbIeiVLxKcA</t>
        </is>
      </c>
      <c r="Q6" s="26" t="inlineStr">
        <is>
          <t>Signals: shorts, high_upload_frequency</t>
        </is>
      </c>
      <c r="R6" s="26" t="inlineStr">
        <is>
          <t>https://www.youtube.com/channel/UCGW2OA5IB1l1YbIeiVLxKcA</t>
        </is>
      </c>
      <c r="S6" s="26" t="inlineStr">
        <is>
          <t>email</t>
        </is>
      </c>
      <c r="T6" s="26" t="inlineStr">
        <is>
          <t>Contact@yumup.net</t>
        </is>
      </c>
      <c r="U6" s="26" t="inlineStr">
        <is>
          <t>https://www.youtube.com/channel/UCGW2OA5IB1l1YbIeiVLxKcA</t>
        </is>
      </c>
      <c r="V6" s="26" t="inlineStr">
        <is>
          <t>https://www.youtube.com/channel/UCGW2OA5IB1l1YbIeiVLxKcA</t>
        </is>
      </c>
      <c r="W6" s="26" t="inlineStr">
        <is>
          <t>https://www.youtube.com/channel/UCGW2OA5IB1l1YbIeiVLxKcA</t>
        </is>
      </c>
      <c r="X6" s="34" t="inlineStr">
        <is>
          <t>2026-09-04</t>
        </is>
      </c>
      <c r="Y6" s="26" t="inlineStr">
        <is>
          <t>A</t>
        </is>
      </c>
      <c r="Z6" s="26" t="inlineStr">
        <is>
          <t>nan</t>
        </is>
      </c>
      <c r="AA6" s="26" t="inlineStr">
        <is>
          <t>Qualified</t>
        </is>
      </c>
      <c r="AB6" s="27" t="inlineStr"/>
      <c r="AC6" s="32" t="inlineStr">
        <is>
          <t>Passed</t>
        </is>
      </c>
      <c r="AD6" s="32" t="inlineStr">
        <is>
          <t>Passed</t>
        </is>
      </c>
    </row>
    <row r="7">
      <c r="A7" s="25" t="inlineStr">
        <is>
          <t>LEAD-0003</t>
        </is>
      </c>
      <c r="B7" s="26" t="inlineStr">
        <is>
          <t>Coach Corey Martin</t>
        </is>
      </c>
      <c r="C7" s="26" t="inlineStr">
        <is>
          <t>Tech</t>
        </is>
      </c>
      <c r="D7" s="26" t="inlineStr">
        <is>
          <t>US</t>
        </is>
      </c>
      <c r="E7" s="26" t="inlineStr">
        <is>
          <t>EN</t>
        </is>
      </c>
      <c r="F7" s="26" t="inlineStr">
        <is>
          <t>YouTube</t>
        </is>
      </c>
      <c r="G7" s="26" t="inlineStr">
        <is>
          <t>https://www.youtube.com/channel/UC6mp1dGFmDN96FPWPIbsqeQ</t>
        </is>
      </c>
      <c r="H7" s="26" t="inlineStr">
        <is>
          <t>UC6mp1dGFmDN96FPWPIbsqeQ</t>
        </is>
      </c>
      <c r="I7" s="26" t="inlineStr">
        <is>
          <t>https://www.youtube.com/channel/UC6mp1dGFmDN96FPWPIbsqeQ</t>
        </is>
      </c>
      <c r="J7" s="37" t="n">
        <v>1210000</v>
      </c>
      <c r="K7" s="34" t="inlineStr">
        <is>
          <t>2026-09-02</t>
        </is>
      </c>
      <c r="L7" s="26" t="inlineStr">
        <is>
          <t>https://www.youtube.com/channel/UC6mp1dGFmDN96FPWPIbsqeQ</t>
        </is>
      </c>
      <c r="M7" s="37" t="n">
        <v>10</v>
      </c>
      <c r="N7" s="37" t="n">
        <v>20</v>
      </c>
      <c r="O7" s="26" t="inlineStr">
        <is>
          <t>Established channel: 1,210,000 subscribers, 636 videos published</t>
        </is>
      </c>
      <c r="P7" s="26" t="inlineStr">
        <is>
          <t>https://www.youtube.com/channel/UC6mp1dGFmDN96FPWPIbsqeQ</t>
        </is>
      </c>
      <c r="Q7" s="26" t="inlineStr">
        <is>
          <t>Signals: high_upload_frequency</t>
        </is>
      </c>
      <c r="R7" s="26" t="inlineStr">
        <is>
          <t>https://www.youtube.com/channel/UC6mp1dGFmDN96FPWPIbsqeQ</t>
        </is>
      </c>
      <c r="S7" s="26" t="inlineStr">
        <is>
          <t>email</t>
        </is>
      </c>
      <c r="T7" s="26" t="inlineStr">
        <is>
          <t>coachmartinphysed@gmail.com</t>
        </is>
      </c>
      <c r="U7" s="26" t="inlineStr">
        <is>
          <t>https://www.youtube.com/channel/UC6mp1dGFmDN96FPWPIbsqeQ</t>
        </is>
      </c>
      <c r="V7" s="26" t="inlineStr">
        <is>
          <t>https://www.youtube.com/channel/UC6mp1dGFmDN96FPWPIbsqeQ</t>
        </is>
      </c>
      <c r="W7" s="26" t="inlineStr">
        <is>
          <t>https://www.youtube.com/channel/UC6mp1dGFmDN96FPWPIbsqeQ</t>
        </is>
      </c>
      <c r="X7" s="34" t="inlineStr">
        <is>
          <t>2026-09-04</t>
        </is>
      </c>
      <c r="Y7" s="26" t="inlineStr">
        <is>
          <t>B</t>
        </is>
      </c>
      <c r="Z7" s="26" t="inlineStr">
        <is>
          <t>nan</t>
        </is>
      </c>
      <c r="AA7" s="26" t="inlineStr">
        <is>
          <t>Qualified</t>
        </is>
      </c>
      <c r="AB7" s="27" t="inlineStr"/>
      <c r="AC7" s="32" t="inlineStr">
        <is>
          <t>Passed</t>
        </is>
      </c>
      <c r="AD7" s="32" t="inlineStr">
        <is>
          <t>Passed</t>
        </is>
      </c>
    </row>
    <row r="8">
      <c r="A8" s="25" t="inlineStr">
        <is>
          <t>LEAD-0004</t>
        </is>
      </c>
      <c r="B8" s="26" t="inlineStr">
        <is>
          <t>Davie Fogarty</t>
        </is>
      </c>
      <c r="C8" s="26" t="inlineStr">
        <is>
          <t>Lifestyle</t>
        </is>
      </c>
      <c r="D8" s="26" t="inlineStr">
        <is>
          <t>AU</t>
        </is>
      </c>
      <c r="E8" s="26" t="inlineStr">
        <is>
          <t>EN</t>
        </is>
      </c>
      <c r="F8" s="26" t="inlineStr">
        <is>
          <t>YouTube</t>
        </is>
      </c>
      <c r="G8" s="26" t="inlineStr">
        <is>
          <t>https://www.youtube.com/channel/UC-JHxwWL4-WoqyQIYsBvTbA</t>
        </is>
      </c>
      <c r="H8" s="26" t="inlineStr">
        <is>
          <t>UC-JHxwWL4-WoqyQIYsBvTbA</t>
        </is>
      </c>
      <c r="I8" s="26" t="inlineStr">
        <is>
          <t>https://www.youtube.com/channel/UC-JHxwWL4-WoqyQIYsBvTbA</t>
        </is>
      </c>
      <c r="J8" s="37" t="n">
        <v>928000</v>
      </c>
      <c r="K8" s="34" t="inlineStr">
        <is>
          <t>2026-09-04</t>
        </is>
      </c>
      <c r="L8" s="26" t="inlineStr">
        <is>
          <t>https://www.youtube.com/channel/UC-JHxwWL4-WoqyQIYsBvTbA</t>
        </is>
      </c>
      <c r="M8" s="37" t="n">
        <v>18</v>
      </c>
      <c r="N8" s="37" t="n">
        <v>36</v>
      </c>
      <c r="O8" s="26" t="inlineStr">
        <is>
          <t>Established channel: 928,000 subscribers, 922 videos published</t>
        </is>
      </c>
      <c r="P8" s="26" t="inlineStr">
        <is>
          <t>https://www.youtube.com/channel/UC-JHxwWL4-WoqyQIYsBvTbA</t>
        </is>
      </c>
      <c r="Q8" s="26" t="inlineStr">
        <is>
          <t>Signals: high_upload_frequency</t>
        </is>
      </c>
      <c r="R8" s="26" t="inlineStr">
        <is>
          <t>https://www.youtube.com/channel/UC-JHxwWL4-WoqyQIYsBvTbA</t>
        </is>
      </c>
      <c r="S8" s="26" t="inlineStr">
        <is>
          <t>email</t>
        </is>
      </c>
      <c r="T8" s="26" t="inlineStr">
        <is>
          <t>davie@davie.co</t>
        </is>
      </c>
      <c r="U8" s="26" t="inlineStr">
        <is>
          <t>https://www.youtube.com/channel/UC-JHxwWL4-WoqyQIYsBvTbA</t>
        </is>
      </c>
      <c r="V8" s="26" t="inlineStr">
        <is>
          <t>https://www.youtube.com/channel/UC-JHxwWL4-WoqyQIYsBvTbA</t>
        </is>
      </c>
      <c r="W8" s="26" t="inlineStr">
        <is>
          <t>https://www.youtube.com/channel/UC-JHxwWL4-WoqyQIYsBvTbA</t>
        </is>
      </c>
      <c r="X8" s="34" t="inlineStr">
        <is>
          <t>2026-09-04</t>
        </is>
      </c>
      <c r="Y8" s="26" t="inlineStr">
        <is>
          <t>B</t>
        </is>
      </c>
      <c r="Z8" s="26" t="inlineStr">
        <is>
          <t>nan</t>
        </is>
      </c>
      <c r="AA8" s="26" t="inlineStr">
        <is>
          <t>Qualified</t>
        </is>
      </c>
      <c r="AB8" s="27" t="inlineStr"/>
      <c r="AC8" s="32" t="inlineStr">
        <is>
          <t>Passed</t>
        </is>
      </c>
      <c r="AD8" s="32" t="inlineStr">
        <is>
          <t>Passed</t>
        </is>
      </c>
    </row>
    <row r="9">
      <c r="A9" s="25" t="inlineStr">
        <is>
          <t>LEAD-0005</t>
        </is>
      </c>
      <c r="B9" s="26" t="inlineStr">
        <is>
          <t>Dear Shandy Podcast</t>
        </is>
      </c>
      <c r="C9" s="26" t="inlineStr">
        <is>
          <t>Tech</t>
        </is>
      </c>
      <c r="D9" s="26" t="inlineStr">
        <is>
          <t>US</t>
        </is>
      </c>
      <c r="E9" s="26" t="inlineStr">
        <is>
          <t>EN</t>
        </is>
      </c>
      <c r="F9" s="26" t="inlineStr">
        <is>
          <t>YouTube</t>
        </is>
      </c>
      <c r="G9" s="26" t="inlineStr">
        <is>
          <t>https://www.youtube.com/channel/UCrjVm8ajuupZBzkmgnZgynw</t>
        </is>
      </c>
      <c r="H9" s="26" t="inlineStr">
        <is>
          <t>UCrjVm8ajuupZBzkmgnZgynw</t>
        </is>
      </c>
      <c r="I9" s="26" t="inlineStr">
        <is>
          <t>https://www.youtube.com/channel/UCrjVm8ajuupZBzkmgnZgynw</t>
        </is>
      </c>
      <c r="J9" s="37" t="n">
        <v>57000</v>
      </c>
      <c r="K9" s="34" t="inlineStr">
        <is>
          <t>2026-09-03</t>
        </is>
      </c>
      <c r="L9" s="26" t="inlineStr">
        <is>
          <t>https://www.youtube.com/channel/UCrjVm8ajuupZBzkmgnZgynw</t>
        </is>
      </c>
      <c r="M9" s="37" t="n">
        <v>26</v>
      </c>
      <c r="N9" s="37" t="n">
        <v>52</v>
      </c>
      <c r="O9" s="26" t="inlineStr">
        <is>
          <t>Keywords: sponsor, use code</t>
        </is>
      </c>
      <c r="P9" s="26" t="inlineStr">
        <is>
          <t>https://www.youtube.com/channel/UCrjVm8ajuupZBzkmgnZgynw</t>
        </is>
      </c>
      <c r="Q9" s="26" t="inlineStr">
        <is>
          <t>Signals: editing, high_upload_frequency</t>
        </is>
      </c>
      <c r="R9" s="26" t="inlineStr">
        <is>
          <t>https://www.youtube.com/channel/UCrjVm8ajuupZBzkmgnZgynw</t>
        </is>
      </c>
      <c r="S9" s="26" t="inlineStr">
        <is>
          <t>email</t>
        </is>
      </c>
      <c r="T9" s="26" t="inlineStr">
        <is>
          <t>dearshandy@gmail.com</t>
        </is>
      </c>
      <c r="U9" s="26" t="inlineStr">
        <is>
          <t>https://www.youtube.com/channel/UCrjVm8ajuupZBzkmgnZgynw</t>
        </is>
      </c>
      <c r="V9" s="26" t="inlineStr">
        <is>
          <t>https://www.youtube.com/channel/UCrjVm8ajuupZBzkmgnZgynw</t>
        </is>
      </c>
      <c r="W9" s="26" t="inlineStr">
        <is>
          <t>https://www.youtube.com/channel/UCrjVm8ajuupZBzkmgnZgynw</t>
        </is>
      </c>
      <c r="X9" s="34" t="inlineStr">
        <is>
          <t>2026-09-04</t>
        </is>
      </c>
      <c r="Y9" s="26" t="inlineStr">
        <is>
          <t>A</t>
        </is>
      </c>
      <c r="Z9" s="26" t="inlineStr">
        <is>
          <t>nan</t>
        </is>
      </c>
      <c r="AA9" s="26" t="inlineStr">
        <is>
          <t>Qualified</t>
        </is>
      </c>
      <c r="AB9" s="27" t="inlineStr"/>
      <c r="AC9" s="32" t="inlineStr">
        <is>
          <t>Passed</t>
        </is>
      </c>
      <c r="AD9" s="32" t="inlineStr">
        <is>
          <t>Passed</t>
        </is>
      </c>
    </row>
    <row r="10">
      <c r="A10" s="25" t="inlineStr">
        <is>
          <t>LEAD-0006</t>
        </is>
      </c>
      <c r="B10" s="26" t="inlineStr">
        <is>
          <t>The Viall Files</t>
        </is>
      </c>
      <c r="C10" s="26" t="inlineStr">
        <is>
          <t>Lifestyle</t>
        </is>
      </c>
      <c r="D10" s="26" t="inlineStr">
        <is>
          <t>US</t>
        </is>
      </c>
      <c r="E10" s="26" t="inlineStr">
        <is>
          <t>EN</t>
        </is>
      </c>
      <c r="F10" s="26" t="inlineStr">
        <is>
          <t>YouTube</t>
        </is>
      </c>
      <c r="G10" s="26" t="inlineStr">
        <is>
          <t>https://www.youtube.com/channel/UC071KjEQUoDUe3FvDU6j02Q</t>
        </is>
      </c>
      <c r="H10" s="26" t="inlineStr">
        <is>
          <t>UC071KjEQUoDUe3FvDU6j02Q</t>
        </is>
      </c>
      <c r="I10" s="26" t="inlineStr">
        <is>
          <t>https://www.youtube.com/channel/UC071KjEQUoDUe3FvDU6j02Q</t>
        </is>
      </c>
      <c r="J10" s="37" t="n">
        <v>314000</v>
      </c>
      <c r="K10" s="34" t="inlineStr">
        <is>
          <t>2026-09-04</t>
        </is>
      </c>
      <c r="L10" s="26" t="inlineStr">
        <is>
          <t>https://www.youtube.com/channel/UC071KjEQUoDUe3FvDU6j02Q</t>
        </is>
      </c>
      <c r="M10" s="37" t="n">
        <v>166</v>
      </c>
      <c r="N10" s="37" t="n">
        <v>332</v>
      </c>
      <c r="O10" s="26" t="inlineStr">
        <is>
          <t>Keywords: sponsor, use code, free trial</t>
        </is>
      </c>
      <c r="P10" s="26" t="inlineStr">
        <is>
          <t>https://www.youtube.com/channel/UC071KjEQUoDUe3FvDU6j02Q</t>
        </is>
      </c>
      <c r="Q10" s="26" t="inlineStr">
        <is>
          <t>Signals: clips, high_upload_frequency</t>
        </is>
      </c>
      <c r="R10" s="26" t="inlineStr">
        <is>
          <t>https://www.youtube.com/channel/UC071KjEQUoDUe3FvDU6j02Q</t>
        </is>
      </c>
      <c r="S10" s="26" t="inlineStr">
        <is>
          <t>email</t>
        </is>
      </c>
      <c r="T10" s="26" t="inlineStr">
        <is>
          <t>asknick@theviallfiles.com</t>
        </is>
      </c>
      <c r="U10" s="26" t="inlineStr">
        <is>
          <t>https://www.youtube.com/channel/UC071KjEQUoDUe3FvDU6j02Q</t>
        </is>
      </c>
      <c r="V10" s="26" t="inlineStr">
        <is>
          <t>https://www.youtube.com/channel/UC071KjEQUoDUe3FvDU6j02Q</t>
        </is>
      </c>
      <c r="W10" s="26" t="inlineStr">
        <is>
          <t>https://www.youtube.com/channel/UC071KjEQUoDUe3FvDU6j02Q</t>
        </is>
      </c>
      <c r="X10" s="34" t="inlineStr">
        <is>
          <t>2026-09-04</t>
        </is>
      </c>
      <c r="Y10" s="26" t="inlineStr">
        <is>
          <t>A</t>
        </is>
      </c>
      <c r="Z10" s="26" t="inlineStr">
        <is>
          <t>nan</t>
        </is>
      </c>
      <c r="AA10" s="26" t="inlineStr">
        <is>
          <t>Qualified</t>
        </is>
      </c>
      <c r="AB10" s="27" t="inlineStr"/>
      <c r="AC10" s="32" t="inlineStr">
        <is>
          <t>Passed</t>
        </is>
      </c>
      <c r="AD10" s="32" t="inlineStr">
        <is>
          <t>Passed</t>
        </is>
      </c>
    </row>
    <row r="11">
      <c r="A11" s="25" t="inlineStr">
        <is>
          <t>LEAD-0007</t>
        </is>
      </c>
      <c r="B11" s="26" t="inlineStr">
        <is>
          <t>Lillie Kane</t>
        </is>
      </c>
      <c r="C11" s="26" t="inlineStr">
        <is>
          <t>Fitness</t>
        </is>
      </c>
      <c r="D11" s="26" t="inlineStr">
        <is>
          <t>US</t>
        </is>
      </c>
      <c r="E11" s="26" t="inlineStr">
        <is>
          <t>EN</t>
        </is>
      </c>
      <c r="F11" s="26" t="inlineStr">
        <is>
          <t>YouTube</t>
        </is>
      </c>
      <c r="G11" s="26" t="inlineStr">
        <is>
          <t>https://www.youtube.com/channel/UCwQZjOOTYwzl4QFseBH_9wg</t>
        </is>
      </c>
      <c r="H11" s="26" t="inlineStr">
        <is>
          <t>UCwQZjOOTYwzl4QFseBH_9wg</t>
        </is>
      </c>
      <c r="I11" s="26" t="inlineStr">
        <is>
          <t>https://www.youtube.com/channel/UCwQZjOOTYwzl4QFseBH_9wg</t>
        </is>
      </c>
      <c r="J11" s="37" t="n">
        <v>541000</v>
      </c>
      <c r="K11" s="34" t="inlineStr">
        <is>
          <t>2026-09-02</t>
        </is>
      </c>
      <c r="L11" s="26" t="inlineStr">
        <is>
          <t>https://www.youtube.com/channel/UCwQZjOOTYwzl4QFseBH_9wg</t>
        </is>
      </c>
      <c r="M11" s="37" t="n">
        <v>15</v>
      </c>
      <c r="N11" s="37" t="n">
        <v>30</v>
      </c>
      <c r="O11" s="26" t="inlineStr">
        <is>
          <t>Keywords: discount code</t>
        </is>
      </c>
      <c r="P11" s="26" t="inlineStr">
        <is>
          <t>https://www.youtube.com/channel/UCwQZjOOTYwzl4QFseBH_9wg</t>
        </is>
      </c>
      <c r="Q11" s="26" t="inlineStr">
        <is>
          <t>Signals: newsletter, high_upload_frequency</t>
        </is>
      </c>
      <c r="R11" s="26" t="inlineStr">
        <is>
          <t>https://www.youtube.com/channel/UCwQZjOOTYwzl4QFseBH_9wg</t>
        </is>
      </c>
      <c r="S11" s="26" t="inlineStr">
        <is>
          <t>email</t>
        </is>
      </c>
      <c r="T11" s="26" t="inlineStr">
        <is>
          <t>hello@lilliekane.com</t>
        </is>
      </c>
      <c r="U11" s="26" t="inlineStr">
        <is>
          <t>https://www.youtube.com/channel/UCwQZjOOTYwzl4QFseBH_9wg</t>
        </is>
      </c>
      <c r="V11" s="26" t="inlineStr">
        <is>
          <t>https://www.youtube.com/channel/UCwQZjOOTYwzl4QFseBH_9wg</t>
        </is>
      </c>
      <c r="W11" s="26" t="inlineStr">
        <is>
          <t>https://www.youtube.com/channel/UCwQZjOOTYwzl4QFseBH_9wg</t>
        </is>
      </c>
      <c r="X11" s="34" t="inlineStr">
        <is>
          <t>2026-09-04</t>
        </is>
      </c>
      <c r="Y11" s="26" t="inlineStr">
        <is>
          <t>A</t>
        </is>
      </c>
      <c r="Z11" s="26" t="inlineStr">
        <is>
          <t>nan</t>
        </is>
      </c>
      <c r="AA11" s="26" t="inlineStr">
        <is>
          <t>Qualified</t>
        </is>
      </c>
      <c r="AB11" s="27" t="inlineStr"/>
      <c r="AC11" s="32" t="inlineStr">
        <is>
          <t>Passed</t>
        </is>
      </c>
      <c r="AD11" s="32" t="inlineStr">
        <is>
          <t>Passed</t>
        </is>
      </c>
    </row>
    <row r="12">
      <c r="A12" s="25" t="inlineStr">
        <is>
          <t>LEAD-0008</t>
        </is>
      </c>
      <c r="B12" s="26" t="inlineStr">
        <is>
          <t>Nischa</t>
        </is>
      </c>
      <c r="C12" s="26" t="inlineStr">
        <is>
          <t>Lifestyle</t>
        </is>
      </c>
      <c r="D12" s="26" t="inlineStr">
        <is>
          <t>GB</t>
        </is>
      </c>
      <c r="E12" s="26" t="inlineStr">
        <is>
          <t>EN</t>
        </is>
      </c>
      <c r="F12" s="26" t="inlineStr">
        <is>
          <t>YouTube</t>
        </is>
      </c>
      <c r="G12" s="26" t="inlineStr">
        <is>
          <t>https://www.youtube.com/channel/UCQpPo9BNwezg54N9hMFQp6Q</t>
        </is>
      </c>
      <c r="H12" s="26" t="inlineStr">
        <is>
          <t>UCQpPo9BNwezg54N9hMFQp6Q</t>
        </is>
      </c>
      <c r="I12" s="26" t="inlineStr">
        <is>
          <t>https://link.nischa.me/investytb</t>
        </is>
      </c>
      <c r="J12" s="37" t="n">
        <v>2250000</v>
      </c>
      <c r="K12" s="34" t="inlineStr">
        <is>
          <t>2026-08-30</t>
        </is>
      </c>
      <c r="L12" s="26" t="inlineStr">
        <is>
          <t>https://www.youtube.com/channel/UCQpPo9BNwezg54N9hMFQp6Q</t>
        </is>
      </c>
      <c r="M12" s="37" t="n">
        <v>11</v>
      </c>
      <c r="N12" s="37" t="n">
        <v>22</v>
      </c>
      <c r="O12" s="26" t="inlineStr">
        <is>
          <t>Keywords: sponsor</t>
        </is>
      </c>
      <c r="P12" s="26" t="inlineStr">
        <is>
          <t>https://www.youtube.com/channel/UCQpPo9BNwezg54N9hMFQp6Q</t>
        </is>
      </c>
      <c r="Q12" s="26" t="inlineStr">
        <is>
          <t>Signals: high_upload_frequency</t>
        </is>
      </c>
      <c r="R12" s="26" t="inlineStr">
        <is>
          <t>https://www.youtube.com/channel/UCQpPo9BNwezg54N9hMFQp6Q</t>
        </is>
      </c>
      <c r="S12" s="26" t="inlineStr">
        <is>
          <t>website</t>
        </is>
      </c>
      <c r="T12" s="26" t="inlineStr">
        <is>
          <t>nan</t>
        </is>
      </c>
      <c r="U12" s="26" t="inlineStr">
        <is>
          <t>https://link.nischa.me/investytb</t>
        </is>
      </c>
      <c r="V12" s="26" t="inlineStr">
        <is>
          <t>https://www.youtube.com/channel/UCQpPo9BNwezg54N9hMFQp6Q</t>
        </is>
      </c>
      <c r="W12" s="26" t="inlineStr">
        <is>
          <t>https://www.youtube.com/channel/UCQpPo9BNwezg54N9hMFQp6Q</t>
        </is>
      </c>
      <c r="X12" s="34" t="inlineStr">
        <is>
          <t>2026-09-04</t>
        </is>
      </c>
      <c r="Y12" s="26" t="inlineStr">
        <is>
          <t>B</t>
        </is>
      </c>
      <c r="Z12" s="26" t="inlineStr">
        <is>
          <t>nan</t>
        </is>
      </c>
      <c r="AA12" s="26" t="inlineStr">
        <is>
          <t>Qualified</t>
        </is>
      </c>
      <c r="AB12" s="27" t="inlineStr"/>
      <c r="AC12" s="32" t="inlineStr">
        <is>
          <t>Passed</t>
        </is>
      </c>
      <c r="AD12" s="32" t="inlineStr">
        <is>
          <t>Passed</t>
        </is>
      </c>
    </row>
    <row r="13">
      <c r="A13" s="25" t="inlineStr">
        <is>
          <t>LEAD-0009</t>
        </is>
      </c>
      <c r="B13" s="26" t="inlineStr">
        <is>
          <t>Simon Wilson</t>
        </is>
      </c>
      <c r="C13" s="26" t="inlineStr">
        <is>
          <t>Lifestyle</t>
        </is>
      </c>
      <c r="D13" s="26" t="inlineStr">
        <is>
          <t>GB</t>
        </is>
      </c>
      <c r="E13" s="26" t="inlineStr">
        <is>
          <t>EN</t>
        </is>
      </c>
      <c r="F13" s="26" t="inlineStr">
        <is>
          <t>YouTube</t>
        </is>
      </c>
      <c r="G13" s="26" t="inlineStr">
        <is>
          <t>https://www.youtube.com/channel/UCQCrKxBj5Id79syQEsY2Qxg</t>
        </is>
      </c>
      <c r="H13" s="26" t="inlineStr">
        <is>
          <t>UCQCrKxBj5Id79syQEsY2Qxg</t>
        </is>
      </c>
      <c r="I13" s="26" t="inlineStr">
        <is>
          <t>https://www.youtube.com/channel/UCQCrKxBj5Id79syQEsY2Qxg</t>
        </is>
      </c>
      <c r="J13" s="37" t="n">
        <v>2170000</v>
      </c>
      <c r="K13" s="34" t="inlineStr">
        <is>
          <t>2026-09-02</t>
        </is>
      </c>
      <c r="L13" s="26" t="inlineStr">
        <is>
          <t>https://www.youtube.com/channel/UCQCrKxBj5Id79syQEsY2Qxg</t>
        </is>
      </c>
      <c r="M13" s="37" t="n">
        <v>3</v>
      </c>
      <c r="N13" s="37" t="n">
        <v>6</v>
      </c>
      <c r="O13" s="26" t="inlineStr">
        <is>
          <t>Keywords: merch</t>
        </is>
      </c>
      <c r="P13" s="26" t="inlineStr">
        <is>
          <t>https://www.youtube.com/channel/UCQCrKxBj5Id79syQEsY2Qxg</t>
        </is>
      </c>
      <c r="Q13" s="26" t="inlineStr">
        <is>
          <t>Signals: shorts</t>
        </is>
      </c>
      <c r="R13" s="26" t="inlineStr">
        <is>
          <t>https://www.youtube.com/channel/UCQCrKxBj5Id79syQEsY2Qxg</t>
        </is>
      </c>
      <c r="S13" s="26" t="inlineStr">
        <is>
          <t>email</t>
        </is>
      </c>
      <c r="T13" s="26" t="inlineStr">
        <is>
          <t>info@simonjwilson.com</t>
        </is>
      </c>
      <c r="U13" s="26" t="inlineStr">
        <is>
          <t>https://www.youtube.com/channel/UCQCrKxBj5Id79syQEsY2Qxg</t>
        </is>
      </c>
      <c r="V13" s="26" t="inlineStr">
        <is>
          <t>https://www.youtube.com/channel/UCQCrKxBj5Id79syQEsY2Qxg</t>
        </is>
      </c>
      <c r="W13" s="26" t="inlineStr">
        <is>
          <t>https://www.youtube.com/channel/UCQCrKxBj5Id79syQEsY2Qxg</t>
        </is>
      </c>
      <c r="X13" s="34" t="inlineStr">
        <is>
          <t>2026-09-04</t>
        </is>
      </c>
      <c r="Y13" s="26" t="inlineStr">
        <is>
          <t>B</t>
        </is>
      </c>
      <c r="Z13" s="26" t="inlineStr">
        <is>
          <t>nan</t>
        </is>
      </c>
      <c r="AA13" s="26" t="inlineStr">
        <is>
          <t>Qualified</t>
        </is>
      </c>
      <c r="AB13" s="27" t="inlineStr"/>
      <c r="AC13" s="32" t="inlineStr">
        <is>
          <t>Passed</t>
        </is>
      </c>
      <c r="AD13" s="32" t="inlineStr">
        <is>
          <t>Passed</t>
        </is>
      </c>
    </row>
    <row r="14">
      <c r="A14" s="25" t="inlineStr">
        <is>
          <t>LEAD-0010</t>
        </is>
      </c>
      <c r="B14" s="26" t="inlineStr">
        <is>
          <t>Blurry Creatures Podcast</t>
        </is>
      </c>
      <c r="C14" s="26" t="inlineStr">
        <is>
          <t>Finance</t>
        </is>
      </c>
      <c r="D14" s="26" t="inlineStr">
        <is>
          <t>US</t>
        </is>
      </c>
      <c r="E14" s="26" t="inlineStr">
        <is>
          <t>EN</t>
        </is>
      </c>
      <c r="F14" s="26" t="inlineStr">
        <is>
          <t>YouTube</t>
        </is>
      </c>
      <c r="G14" s="26" t="inlineStr">
        <is>
          <t>https://www.youtube.com/channel/UCQXtpk2bCrNWYNdc230lOIQ</t>
        </is>
      </c>
      <c r="H14" s="26" t="inlineStr">
        <is>
          <t>UCQXtpk2bCrNWYNdc230lOIQ</t>
        </is>
      </c>
      <c r="I14" s="26" t="inlineStr">
        <is>
          <t>https://blurrycreatures.com</t>
        </is>
      </c>
      <c r="J14" s="37" t="n">
        <v>244000</v>
      </c>
      <c r="K14" s="34" t="inlineStr">
        <is>
          <t>2026-09-03</t>
        </is>
      </c>
      <c r="L14" s="26" t="inlineStr">
        <is>
          <t>https://www.youtube.com/channel/UCQXtpk2bCrNWYNdc230lOIQ</t>
        </is>
      </c>
      <c r="M14" s="37" t="n">
        <v>34</v>
      </c>
      <c r="N14" s="37" t="n">
        <v>68</v>
      </c>
      <c r="O14" s="26" t="inlineStr">
        <is>
          <t>Keywords: sponsored by, sponsor</t>
        </is>
      </c>
      <c r="P14" s="26" t="inlineStr">
        <is>
          <t>https://www.youtube.com/channel/UCQXtpk2bCrNWYNdc230lOIQ</t>
        </is>
      </c>
      <c r="Q14" s="26" t="inlineStr">
        <is>
          <t>Signals: high_upload_frequency</t>
        </is>
      </c>
      <c r="R14" s="26" t="inlineStr">
        <is>
          <t>https://www.youtube.com/channel/UCQXtpk2bCrNWYNdc230lOIQ</t>
        </is>
      </c>
      <c r="S14" s="26" t="inlineStr">
        <is>
          <t>website</t>
        </is>
      </c>
      <c r="T14" s="26" t="inlineStr">
        <is>
          <t>nan</t>
        </is>
      </c>
      <c r="U14" s="26" t="inlineStr">
        <is>
          <t>https://blurrycreatures.com</t>
        </is>
      </c>
      <c r="V14" s="26" t="inlineStr">
        <is>
          <t>https://www.youtube.com/channel/UCQXtpk2bCrNWYNdc230lOIQ</t>
        </is>
      </c>
      <c r="W14" s="26" t="inlineStr">
        <is>
          <t>https://www.youtube.com/channel/UCQXtpk2bCrNWYNdc230lOIQ</t>
        </is>
      </c>
      <c r="X14" s="34" t="inlineStr">
        <is>
          <t>2026-09-04</t>
        </is>
      </c>
      <c r="Y14" s="26" t="inlineStr">
        <is>
          <t>A</t>
        </is>
      </c>
      <c r="Z14" s="26" t="inlineStr">
        <is>
          <t>nan</t>
        </is>
      </c>
      <c r="AA14" s="26" t="inlineStr">
        <is>
          <t>Qualified</t>
        </is>
      </c>
      <c r="AB14" s="27" t="inlineStr"/>
      <c r="AC14" s="32" t="inlineStr">
        <is>
          <t>Passed</t>
        </is>
      </c>
      <c r="AD14" s="32" t="inlineStr">
        <is>
          <t>Passed</t>
        </is>
      </c>
    </row>
    <row r="15">
      <c r="A15" s="25" t="inlineStr">
        <is>
          <t>LEAD-0011</t>
        </is>
      </c>
      <c r="B15" s="26" t="inlineStr">
        <is>
          <t>Dan Martell</t>
        </is>
      </c>
      <c r="C15" s="26" t="inlineStr">
        <is>
          <t>Lifestyle</t>
        </is>
      </c>
      <c r="D15" s="26" t="inlineStr">
        <is>
          <t>CA</t>
        </is>
      </c>
      <c r="E15" s="26" t="inlineStr">
        <is>
          <t>EN</t>
        </is>
      </c>
      <c r="F15" s="26" t="inlineStr">
        <is>
          <t>YouTube</t>
        </is>
      </c>
      <c r="G15" s="26" t="inlineStr">
        <is>
          <t>https://www.youtube.com/channel/UCA-mWX9CvCTVFWRMb9bKc9w</t>
        </is>
      </c>
      <c r="H15" s="26" t="inlineStr">
        <is>
          <t>UCA-mWX9CvCTVFWRMb9bKc9w</t>
        </is>
      </c>
      <c r="I15" s="26" t="inlineStr">
        <is>
          <t>https://www.BuyBackYourTime.com</t>
        </is>
      </c>
      <c r="J15" s="37" t="n">
        <v>3040000</v>
      </c>
      <c r="K15" s="34" t="inlineStr">
        <is>
          <t>2026-09-04</t>
        </is>
      </c>
      <c r="L15" s="26" t="inlineStr">
        <is>
          <t>https://www.youtube.com/channel/UCA-mWX9CvCTVFWRMb9bKc9w</t>
        </is>
      </c>
      <c r="M15" s="37" t="n">
        <v>93</v>
      </c>
      <c r="N15" s="37" t="n">
        <v>186</v>
      </c>
      <c r="O15" s="26" t="inlineStr">
        <is>
          <t>Established channel: 3,040,000 subscribers, 3662 videos published</t>
        </is>
      </c>
      <c r="P15" s="26" t="inlineStr">
        <is>
          <t>https://www.youtube.com/channel/UCA-mWX9CvCTVFWRMb9bKc9w</t>
        </is>
      </c>
      <c r="Q15" s="26" t="inlineStr">
        <is>
          <t>Signals: high_upload_frequency</t>
        </is>
      </c>
      <c r="R15" s="26" t="inlineStr">
        <is>
          <t>https://www.youtube.com/channel/UCA-mWX9CvCTVFWRMb9bKc9w</t>
        </is>
      </c>
      <c r="S15" s="26" t="inlineStr">
        <is>
          <t>website</t>
        </is>
      </c>
      <c r="T15" s="26" t="inlineStr">
        <is>
          <t>nan</t>
        </is>
      </c>
      <c r="U15" s="26" t="inlineStr">
        <is>
          <t>https://www.BuyBackYourTime.com</t>
        </is>
      </c>
      <c r="V15" s="26" t="inlineStr">
        <is>
          <t>https://www.youtube.com/channel/UCA-mWX9CvCTVFWRMb9bKc9w</t>
        </is>
      </c>
      <c r="W15" s="26" t="inlineStr">
        <is>
          <t>https://www.youtube.com/channel/UCA-mWX9CvCTVFWRMb9bKc9w</t>
        </is>
      </c>
      <c r="X15" s="34" t="inlineStr">
        <is>
          <t>2026-09-04</t>
        </is>
      </c>
      <c r="Y15" s="26" t="inlineStr">
        <is>
          <t>B</t>
        </is>
      </c>
      <c r="Z15" s="26" t="inlineStr">
        <is>
          <t>nan</t>
        </is>
      </c>
      <c r="AA15" s="26" t="inlineStr">
        <is>
          <t>Qualified</t>
        </is>
      </c>
      <c r="AB15" s="27" t="inlineStr"/>
      <c r="AC15" s="32" t="inlineStr">
        <is>
          <t>Passed</t>
        </is>
      </c>
      <c r="AD15" s="32" t="inlineStr">
        <is>
          <t>Passed</t>
        </is>
      </c>
    </row>
    <row r="16">
      <c r="A16" s="25" t="inlineStr">
        <is>
          <t>LEAD-0012</t>
        </is>
      </c>
      <c r="B16" s="26" t="inlineStr">
        <is>
          <t>zoeunlimited</t>
        </is>
      </c>
      <c r="C16" s="26" t="inlineStr">
        <is>
          <t>Lifestyle</t>
        </is>
      </c>
      <c r="D16" s="26" t="inlineStr">
        <is>
          <t>US</t>
        </is>
      </c>
      <c r="E16" s="26" t="inlineStr">
        <is>
          <t>EN</t>
        </is>
      </c>
      <c r="F16" s="26" t="inlineStr">
        <is>
          <t>YouTube</t>
        </is>
      </c>
      <c r="G16" s="26" t="inlineStr">
        <is>
          <t>https://www.youtube.com/channel/UCHmq99a0Q5La7UmP0kYbUeQ</t>
        </is>
      </c>
      <c r="H16" s="26" t="inlineStr">
        <is>
          <t>UCHmq99a0Q5La7UmP0kYbUeQ</t>
        </is>
      </c>
      <c r="I16" s="26" t="inlineStr">
        <is>
          <t>https://www.youtube.com/channel/UCHmq99a0Q5La7UmP0kYbUeQ</t>
        </is>
      </c>
      <c r="J16" s="37" t="n">
        <v>3410000</v>
      </c>
      <c r="K16" s="34" t="inlineStr">
        <is>
          <t>2026-09-03</t>
        </is>
      </c>
      <c r="L16" s="26" t="inlineStr">
        <is>
          <t>https://www.youtube.com/channel/UCHmq99a0Q5La7UmP0kYbUeQ</t>
        </is>
      </c>
      <c r="M16" s="37" t="n">
        <v>18</v>
      </c>
      <c r="N16" s="37" t="n">
        <v>36</v>
      </c>
      <c r="O16" s="26" t="inlineStr">
        <is>
          <t>Keywords: use code</t>
        </is>
      </c>
      <c r="P16" s="26" t="inlineStr">
        <is>
          <t>https://www.youtube.com/channel/UCHmq99a0Q5La7UmP0kYbUeQ</t>
        </is>
      </c>
      <c r="Q16" s="26" t="inlineStr">
        <is>
          <t>Signals: high_upload_frequency</t>
        </is>
      </c>
      <c r="R16" s="26" t="inlineStr">
        <is>
          <t>https://www.youtube.com/channel/UCHmq99a0Q5La7UmP0kYbUeQ</t>
        </is>
      </c>
      <c r="S16" s="26" t="inlineStr">
        <is>
          <t>email</t>
        </is>
      </c>
      <c r="T16" s="26" t="inlineStr">
        <is>
          <t>contact@zunlimited.co</t>
        </is>
      </c>
      <c r="U16" s="26" t="inlineStr">
        <is>
          <t>https://www.youtube.com/channel/UCHmq99a0Q5La7UmP0kYbUeQ</t>
        </is>
      </c>
      <c r="V16" s="26" t="inlineStr">
        <is>
          <t>https://www.youtube.com/channel/UCHmq99a0Q5La7UmP0kYbUeQ</t>
        </is>
      </c>
      <c r="W16" s="26" t="inlineStr">
        <is>
          <t>https://www.youtube.com/channel/UCHmq99a0Q5La7UmP0kYbUeQ</t>
        </is>
      </c>
      <c r="X16" s="34" t="inlineStr">
        <is>
          <t>2026-09-04</t>
        </is>
      </c>
      <c r="Y16" s="26" t="inlineStr">
        <is>
          <t>B</t>
        </is>
      </c>
      <c r="Z16" s="26" t="inlineStr">
        <is>
          <t>nan</t>
        </is>
      </c>
      <c r="AA16" s="26" t="inlineStr">
        <is>
          <t>Qualified</t>
        </is>
      </c>
      <c r="AB16" s="27" t="inlineStr"/>
      <c r="AC16" s="32" t="inlineStr">
        <is>
          <t>Passed</t>
        </is>
      </c>
      <c r="AD16" s="32" t="inlineStr">
        <is>
          <t>Passed</t>
        </is>
      </c>
    </row>
    <row r="17">
      <c r="A17" s="25" t="inlineStr">
        <is>
          <t>LEAD-0013</t>
        </is>
      </c>
      <c r="B17" s="26" t="inlineStr">
        <is>
          <t>Singapore Math Benjamin Low</t>
        </is>
      </c>
      <c r="C17" s="26" t="inlineStr">
        <is>
          <t>Education</t>
        </is>
      </c>
      <c r="D17" s="26" t="inlineStr">
        <is>
          <t>SG</t>
        </is>
      </c>
      <c r="E17" s="26" t="inlineStr">
        <is>
          <t>EN</t>
        </is>
      </c>
      <c r="F17" s="26" t="inlineStr">
        <is>
          <t>YouTube</t>
        </is>
      </c>
      <c r="G17" s="26" t="inlineStr">
        <is>
          <t>https://www.youtube.com/channel/UCy4Pm0a6_MkkQ6Fft3gM0yA</t>
        </is>
      </c>
      <c r="H17" s="26" t="inlineStr">
        <is>
          <t>UCy4Pm0a6_MkkQ6Fft3gM0yA</t>
        </is>
      </c>
      <c r="I17" s="26" t="inlineStr">
        <is>
          <t>https://t.me/trinitymath</t>
        </is>
      </c>
      <c r="J17" s="37" t="n">
        <v>1830</v>
      </c>
      <c r="K17" s="34" t="inlineStr">
        <is>
          <t>2026-09-04</t>
        </is>
      </c>
      <c r="L17" s="26" t="inlineStr">
        <is>
          <t>https://www.youtube.com/channel/UCy4Pm0a6_MkkQ6Fft3gM0yA</t>
        </is>
      </c>
      <c r="M17" s="37" t="n">
        <v>115</v>
      </c>
      <c r="N17" s="37" t="n">
        <v>230</v>
      </c>
      <c r="O17" s="26" t="inlineStr">
        <is>
          <t>Keywords: link in bio</t>
        </is>
      </c>
      <c r="P17" s="26" t="inlineStr">
        <is>
          <t>https://www.youtube.com/channel/UCy4Pm0a6_MkkQ6Fft3gM0yA</t>
        </is>
      </c>
      <c r="Q17" s="26" t="inlineStr">
        <is>
          <t>Signals: high_upload_frequency</t>
        </is>
      </c>
      <c r="R17" s="26" t="inlineStr">
        <is>
          <t>https://www.youtube.com/channel/UCy4Pm0a6_MkkQ6Fft3gM0yA</t>
        </is>
      </c>
      <c r="S17" s="26" t="inlineStr">
        <is>
          <t>website</t>
        </is>
      </c>
      <c r="T17" s="26" t="inlineStr">
        <is>
          <t>nan</t>
        </is>
      </c>
      <c r="U17" s="26" t="inlineStr">
        <is>
          <t>https://t.me/trinitymath</t>
        </is>
      </c>
      <c r="V17" s="26" t="inlineStr">
        <is>
          <t>https://www.youtube.com/channel/UCy4Pm0a6_MkkQ6Fft3gM0yA</t>
        </is>
      </c>
      <c r="W17" s="26" t="inlineStr">
        <is>
          <t>https://www.youtube.com/channel/UCy4Pm0a6_MkkQ6Fft3gM0yA</t>
        </is>
      </c>
      <c r="X17" s="34" t="inlineStr">
        <is>
          <t>2026-09-04</t>
        </is>
      </c>
      <c r="Y17" s="26" t="inlineStr">
        <is>
          <t>B</t>
        </is>
      </c>
      <c r="Z17" s="26" t="inlineStr">
        <is>
          <t>nan</t>
        </is>
      </c>
      <c r="AA17" s="26" t="inlineStr">
        <is>
          <t>Qualified</t>
        </is>
      </c>
      <c r="AB17" s="27" t="inlineStr"/>
      <c r="AC17" s="32" t="inlineStr">
        <is>
          <t>Passed</t>
        </is>
      </c>
      <c r="AD17" s="32" t="inlineStr">
        <is>
          <t>Passed</t>
        </is>
      </c>
    </row>
    <row r="18">
      <c r="A18" s="25" t="inlineStr">
        <is>
          <t>LEAD-0014</t>
        </is>
      </c>
      <c r="B18" s="26" t="inlineStr">
        <is>
          <t>Wallstreet Trapper</t>
        </is>
      </c>
      <c r="C18" s="26" t="inlineStr">
        <is>
          <t>Finance</t>
        </is>
      </c>
      <c r="D18" s="26" t="inlineStr">
        <is>
          <t>US</t>
        </is>
      </c>
      <c r="E18" s="26" t="inlineStr">
        <is>
          <t>EN</t>
        </is>
      </c>
      <c r="F18" s="26" t="inlineStr">
        <is>
          <t>YouTube</t>
        </is>
      </c>
      <c r="G18" s="26" t="inlineStr">
        <is>
          <t>https://www.youtube.com/channel/UCR6hXiWOlFWc46qMFMClKHA</t>
        </is>
      </c>
      <c r="H18" s="26" t="inlineStr">
        <is>
          <t>UCR6hXiWOlFWc46qMFMClKHA</t>
        </is>
      </c>
      <c r="I18" s="26" t="inlineStr">
        <is>
          <t>https://join.trappersanonymous.com/</t>
        </is>
      </c>
      <c r="J18" s="37" t="n">
        <v>783000</v>
      </c>
      <c r="K18" s="34" t="inlineStr">
        <is>
          <t>2026-09-03</t>
        </is>
      </c>
      <c r="L18" s="26" t="inlineStr">
        <is>
          <t>https://www.youtube.com/channel/UCR6hXiWOlFWc46qMFMClKHA</t>
        </is>
      </c>
      <c r="M18" s="37" t="n">
        <v>14</v>
      </c>
      <c r="N18" s="37" t="n">
        <v>28</v>
      </c>
      <c r="O18" s="26" t="inlineStr">
        <is>
          <t>Keywords: patreon</t>
        </is>
      </c>
      <c r="P18" s="26" t="inlineStr">
        <is>
          <t>https://www.youtube.com/channel/UCR6hXiWOlFWc46qMFMClKHA</t>
        </is>
      </c>
      <c r="Q18" s="26" t="inlineStr">
        <is>
          <t>Signals: high_upload_frequency</t>
        </is>
      </c>
      <c r="R18" s="26" t="inlineStr">
        <is>
          <t>https://www.youtube.com/channel/UCR6hXiWOlFWc46qMFMClKHA</t>
        </is>
      </c>
      <c r="S18" s="26" t="inlineStr">
        <is>
          <t>website</t>
        </is>
      </c>
      <c r="T18" s="26" t="inlineStr">
        <is>
          <t>nan</t>
        </is>
      </c>
      <c r="U18" s="26" t="inlineStr">
        <is>
          <t>https://join.trappersanonymous.com/</t>
        </is>
      </c>
      <c r="V18" s="26" t="inlineStr">
        <is>
          <t>https://www.youtube.com/channel/UCR6hXiWOlFWc46qMFMClKHA</t>
        </is>
      </c>
      <c r="W18" s="26" t="inlineStr">
        <is>
          <t>https://www.youtube.com/channel/UCR6hXiWOlFWc46qMFMClKHA</t>
        </is>
      </c>
      <c r="X18" s="34" t="inlineStr">
        <is>
          <t>2026-09-04</t>
        </is>
      </c>
      <c r="Y18" s="26" t="inlineStr">
        <is>
          <t>B</t>
        </is>
      </c>
      <c r="Z18" s="26" t="inlineStr">
        <is>
          <t>nan</t>
        </is>
      </c>
      <c r="AA18" s="26" t="inlineStr">
        <is>
          <t>Qualified</t>
        </is>
      </c>
      <c r="AB18" s="27" t="inlineStr"/>
      <c r="AC18" s="32" t="inlineStr">
        <is>
          <t>Passed</t>
        </is>
      </c>
      <c r="AD18" s="32" t="inlineStr">
        <is>
          <t>Passed</t>
        </is>
      </c>
    </row>
    <row r="19">
      <c r="A19" s="25" t="inlineStr">
        <is>
          <t>LEAD-0015</t>
        </is>
      </c>
      <c r="B19" s="26" t="inlineStr">
        <is>
          <t>Rory Vaden</t>
        </is>
      </c>
      <c r="C19" s="26" t="inlineStr">
        <is>
          <t>Business</t>
        </is>
      </c>
      <c r="D19" s="26" t="inlineStr">
        <is>
          <t>US</t>
        </is>
      </c>
      <c r="E19" s="26" t="inlineStr">
        <is>
          <t>EN</t>
        </is>
      </c>
      <c r="F19" s="26" t="inlineStr">
        <is>
          <t>YouTube</t>
        </is>
      </c>
      <c r="G19" s="26" t="inlineStr">
        <is>
          <t>https://www.youtube.com/channel/UCqvT2XS7KzgYWIXFiUSLWqw</t>
        </is>
      </c>
      <c r="H19" s="26" t="inlineStr">
        <is>
          <t>UCqvT2XS7KzgYWIXFiUSLWqw</t>
        </is>
      </c>
      <c r="I19" s="26" t="inlineStr">
        <is>
          <t>http://roryvadenblog.com</t>
        </is>
      </c>
      <c r="J19" s="37" t="n">
        <v>10100</v>
      </c>
      <c r="K19" s="34" t="inlineStr">
        <is>
          <t>2026-08-26</t>
        </is>
      </c>
      <c r="L19" s="26" t="inlineStr">
        <is>
          <t>https://www.youtube.com/channel/UCqvT2XS7KzgYWIXFiUSLWqw</t>
        </is>
      </c>
      <c r="M19" s="37" t="n">
        <v>7</v>
      </c>
      <c r="N19" s="37" t="n">
        <v>14</v>
      </c>
      <c r="O19" s="26" t="inlineStr">
        <is>
          <t>Established channel: 10,100 subscribers, 428 videos published</t>
        </is>
      </c>
      <c r="P19" s="26" t="inlineStr">
        <is>
          <t>https://www.youtube.com/channel/UCqvT2XS7KzgYWIXFiUSLWqw</t>
        </is>
      </c>
      <c r="Q19" s="26" t="inlineStr">
        <is>
          <t>Signals: shorts, high_upload_frequency, relevant_topic_category</t>
        </is>
      </c>
      <c r="R19" s="26" t="inlineStr">
        <is>
          <t>https://www.youtube.com/channel/UCqvT2XS7KzgYWIXFiUSLWqw</t>
        </is>
      </c>
      <c r="S19" s="26" t="inlineStr">
        <is>
          <t>website</t>
        </is>
      </c>
      <c r="T19" s="26" t="inlineStr">
        <is>
          <t>nan</t>
        </is>
      </c>
      <c r="U19" s="26" t="inlineStr">
        <is>
          <t>http://roryvadenblog.com</t>
        </is>
      </c>
      <c r="V19" s="26" t="inlineStr">
        <is>
          <t>https://www.youtube.com/channel/UCqvT2XS7KzgYWIXFiUSLWqw</t>
        </is>
      </c>
      <c r="W19" s="26" t="inlineStr">
        <is>
          <t>https://www.youtube.com/channel/UCqvT2XS7KzgYWIXFiUSLWqw</t>
        </is>
      </c>
      <c r="X19" s="34" t="inlineStr">
        <is>
          <t>2026-09-04</t>
        </is>
      </c>
      <c r="Y19" s="26" t="inlineStr">
        <is>
          <t>A</t>
        </is>
      </c>
      <c r="Z19" s="26" t="inlineStr">
        <is>
          <t>nan</t>
        </is>
      </c>
      <c r="AA19" s="26" t="inlineStr">
        <is>
          <t>Qualified</t>
        </is>
      </c>
      <c r="AB19" s="27" t="inlineStr"/>
      <c r="AC19" s="32" t="inlineStr">
        <is>
          <t>Passed</t>
        </is>
      </c>
      <c r="AD19" s="32" t="inlineStr">
        <is>
          <t>Passed</t>
        </is>
      </c>
    </row>
    <row r="20">
      <c r="A20" s="25" t="inlineStr">
        <is>
          <t>LEAD-0016</t>
        </is>
      </c>
      <c r="B20" s="26" t="inlineStr">
        <is>
          <t>Leila Hormozi</t>
        </is>
      </c>
      <c r="C20" s="26" t="inlineStr">
        <is>
          <t>Fitness</t>
        </is>
      </c>
      <c r="D20" s="26" t="inlineStr">
        <is>
          <t>US</t>
        </is>
      </c>
      <c r="E20" s="26" t="inlineStr">
        <is>
          <t>EN</t>
        </is>
      </c>
      <c r="F20" s="26" t="inlineStr">
        <is>
          <t>YouTube</t>
        </is>
      </c>
      <c r="G20" s="26" t="inlineStr">
        <is>
          <t>https://www.youtube.com/channel/UCxCcu9pet4dljrBLf8R5nwA</t>
        </is>
      </c>
      <c r="H20" s="26" t="inlineStr">
        <is>
          <t>UCxCcu9pet4dljrBLf8R5nwA</t>
        </is>
      </c>
      <c r="I20" s="26" t="inlineStr">
        <is>
          <t>https://leilahormozi.com/askleila</t>
        </is>
      </c>
      <c r="J20" s="37" t="n">
        <v>1710000</v>
      </c>
      <c r="K20" s="34" t="inlineStr">
        <is>
          <t>2026-09-02</t>
        </is>
      </c>
      <c r="L20" s="26" t="inlineStr">
        <is>
          <t>https://www.youtube.com/channel/UCxCcu9pet4dljrBLf8R5nwA</t>
        </is>
      </c>
      <c r="M20" s="37" t="n">
        <v>44</v>
      </c>
      <c r="N20" s="37" t="n">
        <v>88</v>
      </c>
      <c r="O20" s="26" t="inlineStr">
        <is>
          <t>Established channel: 1,710,000 subscribers, 3842 videos published</t>
        </is>
      </c>
      <c r="P20" s="26" t="inlineStr">
        <is>
          <t>https://www.youtube.com/channel/UCxCcu9pet4dljrBLf8R5nwA</t>
        </is>
      </c>
      <c r="Q20" s="26" t="inlineStr">
        <is>
          <t>Signals: high_upload_frequency</t>
        </is>
      </c>
      <c r="R20" s="26" t="inlineStr">
        <is>
          <t>https://www.youtube.com/channel/UCxCcu9pet4dljrBLf8R5nwA</t>
        </is>
      </c>
      <c r="S20" s="26" t="inlineStr">
        <is>
          <t>website</t>
        </is>
      </c>
      <c r="T20" s="26" t="inlineStr">
        <is>
          <t>nan</t>
        </is>
      </c>
      <c r="U20" s="26" t="inlineStr">
        <is>
          <t>https://leilahormozi.com/askleila</t>
        </is>
      </c>
      <c r="V20" s="26" t="inlineStr">
        <is>
          <t>https://www.youtube.com/channel/UCxCcu9pet4dljrBLf8R5nwA</t>
        </is>
      </c>
      <c r="W20" s="26" t="inlineStr">
        <is>
          <t>https://www.youtube.com/channel/UCxCcu9pet4dljrBLf8R5nwA</t>
        </is>
      </c>
      <c r="X20" s="34" t="inlineStr">
        <is>
          <t>2026-09-04</t>
        </is>
      </c>
      <c r="Y20" s="26" t="inlineStr">
        <is>
          <t>B</t>
        </is>
      </c>
      <c r="Z20" s="26" t="inlineStr">
        <is>
          <t>nan</t>
        </is>
      </c>
      <c r="AA20" s="26" t="inlineStr">
        <is>
          <t>Qualified</t>
        </is>
      </c>
      <c r="AB20" s="27" t="inlineStr"/>
      <c r="AC20" s="32" t="inlineStr">
        <is>
          <t>Passed</t>
        </is>
      </c>
      <c r="AD20" s="32" t="inlineStr">
        <is>
          <t>Passed</t>
        </is>
      </c>
    </row>
    <row r="21">
      <c r="A21" s="25" t="inlineStr">
        <is>
          <t>LEAD-0017</t>
        </is>
      </c>
      <c r="B21" s="26" t="inlineStr">
        <is>
          <t>Travel Blog Jamie</t>
        </is>
      </c>
      <c r="C21" s="26" t="inlineStr">
        <is>
          <t>Lifestyle</t>
        </is>
      </c>
      <c r="D21" s="26" t="inlineStr">
        <is>
          <t>GB</t>
        </is>
      </c>
      <c r="E21" s="26" t="inlineStr">
        <is>
          <t>EN</t>
        </is>
      </c>
      <c r="F21" s="26" t="inlineStr">
        <is>
          <t>YouTube</t>
        </is>
      </c>
      <c r="G21" s="26" t="inlineStr">
        <is>
          <t>https://www.youtube.com/channel/UCMIaO8n8wWLPs7O-jK8k-JA</t>
        </is>
      </c>
      <c r="H21" s="26" t="inlineStr">
        <is>
          <t>UCMIaO8n8wWLPs7O-jK8k-JA</t>
        </is>
      </c>
      <c r="I21" s="26" t="inlineStr">
        <is>
          <t>https://www.youtube.com/channel/UCMIaO8n8wWLPs7O-jK8k-JA</t>
        </is>
      </c>
      <c r="J21" s="37" t="n">
        <v>55700</v>
      </c>
      <c r="K21" s="34" t="inlineStr">
        <is>
          <t>2026-09-03</t>
        </is>
      </c>
      <c r="L21" s="26" t="inlineStr">
        <is>
          <t>https://www.youtube.com/channel/UCMIaO8n8wWLPs7O-jK8k-JA</t>
        </is>
      </c>
      <c r="M21" s="37" t="n">
        <v>18</v>
      </c>
      <c r="N21" s="37" t="n">
        <v>36</v>
      </c>
      <c r="O21" s="26" t="inlineStr">
        <is>
          <t>Keywords: affiliate, patreon</t>
        </is>
      </c>
      <c r="P21" s="26" t="inlineStr">
        <is>
          <t>https://www.youtube.com/channel/UCMIaO8n8wWLPs7O-jK8k-JA</t>
        </is>
      </c>
      <c r="Q21" s="26" t="inlineStr">
        <is>
          <t>Signals: high_upload_frequency</t>
        </is>
      </c>
      <c r="R21" s="26" t="inlineStr">
        <is>
          <t>https://www.youtube.com/channel/UCMIaO8n8wWLPs7O-jK8k-JA</t>
        </is>
      </c>
      <c r="S21" s="26" t="inlineStr">
        <is>
          <t>email</t>
        </is>
      </c>
      <c r="T21" s="26" t="inlineStr">
        <is>
          <t>jamiewrobins@hotmail.co.uk</t>
        </is>
      </c>
      <c r="U21" s="26" t="inlineStr">
        <is>
          <t>https://www.youtube.com/channel/UCMIaO8n8wWLPs7O-jK8k-JA</t>
        </is>
      </c>
      <c r="V21" s="26" t="inlineStr">
        <is>
          <t>https://www.youtube.com/channel/UCMIaO8n8wWLPs7O-jK8k-JA</t>
        </is>
      </c>
      <c r="W21" s="26" t="inlineStr">
        <is>
          <t>https://www.youtube.com/channel/UCMIaO8n8wWLPs7O-jK8k-JA</t>
        </is>
      </c>
      <c r="X21" s="34" t="inlineStr">
        <is>
          <t>2026-09-04</t>
        </is>
      </c>
      <c r="Y21" s="26" t="inlineStr">
        <is>
          <t>A</t>
        </is>
      </c>
      <c r="Z21" s="26" t="inlineStr">
        <is>
          <t>nan</t>
        </is>
      </c>
      <c r="AA21" s="26" t="inlineStr">
        <is>
          <t>Qualified</t>
        </is>
      </c>
      <c r="AB21" s="27" t="inlineStr"/>
      <c r="AC21" s="32" t="inlineStr">
        <is>
          <t>Passed</t>
        </is>
      </c>
      <c r="AD21" s="32" t="inlineStr">
        <is>
          <t>Passed</t>
        </is>
      </c>
    </row>
    <row r="22">
      <c r="A22" s="25" t="inlineStr">
        <is>
          <t>LEAD-0018</t>
        </is>
      </c>
      <c r="B22" s="26" t="inlineStr">
        <is>
          <t>Aaron Knightley</t>
        </is>
      </c>
      <c r="C22" s="26" t="inlineStr">
        <is>
          <t>Finance</t>
        </is>
      </c>
      <c r="D22" s="26" t="inlineStr">
        <is>
          <t>GB</t>
        </is>
      </c>
      <c r="E22" s="26" t="inlineStr">
        <is>
          <t>EN</t>
        </is>
      </c>
      <c r="F22" s="26" t="inlineStr">
        <is>
          <t>YouTube</t>
        </is>
      </c>
      <c r="G22" s="26" t="inlineStr">
        <is>
          <t>https://www.youtube.com/channel/UCttBXcMPASo45sKhM9pLoIg</t>
        </is>
      </c>
      <c r="H22" s="26" t="inlineStr">
        <is>
          <t>UCttBXcMPASo45sKhM9pLoIg</t>
        </is>
      </c>
      <c r="I22" s="26" t="inlineStr">
        <is>
          <t>https://linktr.ee/AKServices</t>
        </is>
      </c>
      <c r="J22" s="37" t="n">
        <v>109000</v>
      </c>
      <c r="K22" s="34" t="inlineStr">
        <is>
          <t>2026-09-03</t>
        </is>
      </c>
      <c r="L22" s="26" t="inlineStr">
        <is>
          <t>https://www.youtube.com/channel/UCttBXcMPASo45sKhM9pLoIg</t>
        </is>
      </c>
      <c r="M22" s="37" t="n">
        <v>37</v>
      </c>
      <c r="N22" s="37" t="n">
        <v>74</v>
      </c>
      <c r="O22" s="26" t="inlineStr">
        <is>
          <t>Established channel: 109,000 subscribers, 2228 videos published</t>
        </is>
      </c>
      <c r="P22" s="26" t="inlineStr">
        <is>
          <t>https://www.youtube.com/channel/UCttBXcMPASo45sKhM9pLoIg</t>
        </is>
      </c>
      <c r="Q22" s="26" t="inlineStr">
        <is>
          <t>Signals: high_upload_frequency</t>
        </is>
      </c>
      <c r="R22" s="26" t="inlineStr">
        <is>
          <t>https://www.youtube.com/channel/UCttBXcMPASo45sKhM9pLoIg</t>
        </is>
      </c>
      <c r="S22" s="26" t="inlineStr">
        <is>
          <t>website</t>
        </is>
      </c>
      <c r="T22" s="26" t="inlineStr">
        <is>
          <t>nan</t>
        </is>
      </c>
      <c r="U22" s="26" t="inlineStr">
        <is>
          <t>https://linktr.ee/AKServices</t>
        </is>
      </c>
      <c r="V22" s="26" t="inlineStr">
        <is>
          <t>https://www.youtube.com/channel/UCttBXcMPASo45sKhM9pLoIg</t>
        </is>
      </c>
      <c r="W22" s="26" t="inlineStr">
        <is>
          <t>https://www.youtube.com/channel/UCttBXcMPASo45sKhM9pLoIg</t>
        </is>
      </c>
      <c r="X22" s="34" t="inlineStr">
        <is>
          <t>2026-09-04</t>
        </is>
      </c>
      <c r="Y22" s="26" t="inlineStr">
        <is>
          <t>B</t>
        </is>
      </c>
      <c r="Z22" s="26" t="inlineStr">
        <is>
          <t>nan</t>
        </is>
      </c>
      <c r="AA22" s="26" t="inlineStr">
        <is>
          <t>Qualified</t>
        </is>
      </c>
      <c r="AB22" s="27" t="inlineStr"/>
      <c r="AC22" s="32" t="inlineStr">
        <is>
          <t>Passed</t>
        </is>
      </c>
      <c r="AD22" s="32" t="inlineStr">
        <is>
          <t>Passed</t>
        </is>
      </c>
    </row>
    <row r="23">
      <c r="A23" s="25" t="inlineStr">
        <is>
          <t>LEAD-0019</t>
        </is>
      </c>
      <c r="B23" s="26" t="inlineStr">
        <is>
          <t xml:space="preserve">Irfan Hashmi The Australian Pavilion &amp; Pharmacist </t>
        </is>
      </c>
      <c r="C23" s="26" t="inlineStr">
        <is>
          <t>Fitness</t>
        </is>
      </c>
      <c r="D23" s="26" t="inlineStr">
        <is>
          <t>AU</t>
        </is>
      </c>
      <c r="E23" s="26" t="inlineStr">
        <is>
          <t>EN</t>
        </is>
      </c>
      <c r="F23" s="26" t="inlineStr">
        <is>
          <t>YouTube</t>
        </is>
      </c>
      <c r="G23" s="26" t="inlineStr">
        <is>
          <t>https://www.youtube.com/channel/UCruYW7nByHrGC8rSvDo9HCA</t>
        </is>
      </c>
      <c r="H23" s="26" t="inlineStr">
        <is>
          <t>UCruYW7nByHrGC8rSvDo9HCA</t>
        </is>
      </c>
      <c r="I23" s="26" t="inlineStr">
        <is>
          <t>https://storylineonline.com</t>
        </is>
      </c>
      <c r="J23" s="37" t="n">
        <v>22200</v>
      </c>
      <c r="K23" s="34" t="inlineStr">
        <is>
          <t>2026-09-04</t>
        </is>
      </c>
      <c r="L23" s="26" t="inlineStr">
        <is>
          <t>https://www.youtube.com/channel/UCruYW7nByHrGC8rSvDo9HCA</t>
        </is>
      </c>
      <c r="M23" s="37" t="n">
        <v>78</v>
      </c>
      <c r="N23" s="37" t="n">
        <v>156</v>
      </c>
      <c r="O23" s="26" t="inlineStr">
        <is>
          <t>Keywords: #ad</t>
        </is>
      </c>
      <c r="P23" s="26" t="inlineStr">
        <is>
          <t>https://www.youtube.com/channel/UCruYW7nByHrGC8rSvDo9HCA</t>
        </is>
      </c>
      <c r="Q23" s="26" t="inlineStr">
        <is>
          <t>Signals: shorts, high_upload_frequency</t>
        </is>
      </c>
      <c r="R23" s="26" t="inlineStr">
        <is>
          <t>https://www.youtube.com/channel/UCruYW7nByHrGC8rSvDo9HCA</t>
        </is>
      </c>
      <c r="S23" s="26" t="inlineStr">
        <is>
          <t>website</t>
        </is>
      </c>
      <c r="T23" s="26" t="inlineStr">
        <is>
          <t>nan</t>
        </is>
      </c>
      <c r="U23" s="26" t="inlineStr">
        <is>
          <t>https://storylineonline.com</t>
        </is>
      </c>
      <c r="V23" s="26" t="inlineStr">
        <is>
          <t>https://www.youtube.com/channel/UCruYW7nByHrGC8rSvDo9HCA</t>
        </is>
      </c>
      <c r="W23" s="26" t="inlineStr">
        <is>
          <t>https://www.youtube.com/channel/UCruYW7nByHrGC8rSvDo9HCA</t>
        </is>
      </c>
      <c r="X23" s="34" t="inlineStr">
        <is>
          <t>2026-09-04</t>
        </is>
      </c>
      <c r="Y23" s="26" t="inlineStr">
        <is>
          <t>B</t>
        </is>
      </c>
      <c r="Z23" s="26" t="inlineStr">
        <is>
          <t>nan</t>
        </is>
      </c>
      <c r="AA23" s="26" t="inlineStr">
        <is>
          <t>Qualified</t>
        </is>
      </c>
      <c r="AB23" s="27" t="inlineStr"/>
      <c r="AC23" s="32" t="inlineStr">
        <is>
          <t>Passed</t>
        </is>
      </c>
      <c r="AD23" s="32" t="inlineStr">
        <is>
          <t>Passed</t>
        </is>
      </c>
    </row>
    <row r="24">
      <c r="A24" s="25" t="inlineStr">
        <is>
          <t>LEAD-0020</t>
        </is>
      </c>
      <c r="B24" s="26" t="inlineStr">
        <is>
          <t>ARIatHOME</t>
        </is>
      </c>
      <c r="C24" s="26" t="inlineStr">
        <is>
          <t>Lifestyle</t>
        </is>
      </c>
      <c r="D24" s="26" t="inlineStr">
        <is>
          <t>US</t>
        </is>
      </c>
      <c r="E24" s="26" t="inlineStr">
        <is>
          <t>EN</t>
        </is>
      </c>
      <c r="F24" s="26" t="inlineStr">
        <is>
          <t>YouTube</t>
        </is>
      </c>
      <c r="G24" s="26" t="inlineStr">
        <is>
          <t>https://www.youtube.com/channel/UCJm8Q-9K_8n-UBrgwEo4yLA</t>
        </is>
      </c>
      <c r="H24" s="26" t="inlineStr">
        <is>
          <t>UCJm8Q-9K_8n-UBrgwEo4yLA</t>
        </is>
      </c>
      <c r="I24" s="26" t="inlineStr">
        <is>
          <t>https://twitch.tv/ariathome</t>
        </is>
      </c>
      <c r="J24" s="37" t="n">
        <v>1860000</v>
      </c>
      <c r="K24" s="34" t="inlineStr">
        <is>
          <t>2026-09-03</t>
        </is>
      </c>
      <c r="L24" s="26" t="inlineStr">
        <is>
          <t>https://www.youtube.com/channel/UCJm8Q-9K_8n-UBrgwEo4yLA</t>
        </is>
      </c>
      <c r="M24" s="37" t="n">
        <v>12</v>
      </c>
      <c r="N24" s="37" t="n">
        <v>24</v>
      </c>
      <c r="O24" s="26" t="inlineStr">
        <is>
          <t>Established channel: 1,860,000 subscribers, 388 videos published</t>
        </is>
      </c>
      <c r="P24" s="26" t="inlineStr">
        <is>
          <t>https://www.youtube.com/channel/UCJm8Q-9K_8n-UBrgwEo4yLA</t>
        </is>
      </c>
      <c r="Q24" s="26" t="inlineStr">
        <is>
          <t>Signals: high_upload_frequency</t>
        </is>
      </c>
      <c r="R24" s="26" t="inlineStr">
        <is>
          <t>https://www.youtube.com/channel/UCJm8Q-9K_8n-UBrgwEo4yLA</t>
        </is>
      </c>
      <c r="S24" s="26" t="inlineStr">
        <is>
          <t>website</t>
        </is>
      </c>
      <c r="T24" s="26" t="inlineStr">
        <is>
          <t>nan</t>
        </is>
      </c>
      <c r="U24" s="26" t="inlineStr">
        <is>
          <t>https://twitch.tv/ariathome</t>
        </is>
      </c>
      <c r="V24" s="26" t="inlineStr">
        <is>
          <t>https://www.youtube.com/channel/UCJm8Q-9K_8n-UBrgwEo4yLA</t>
        </is>
      </c>
      <c r="W24" s="26" t="inlineStr">
        <is>
          <t>https://www.youtube.com/channel/UCJm8Q-9K_8n-UBrgwEo4yLA</t>
        </is>
      </c>
      <c r="X24" s="34" t="inlineStr">
        <is>
          <t>2026-09-04</t>
        </is>
      </c>
      <c r="Y24" s="26" t="inlineStr">
        <is>
          <t>B</t>
        </is>
      </c>
      <c r="Z24" s="26" t="inlineStr">
        <is>
          <t>nan</t>
        </is>
      </c>
      <c r="AA24" s="26" t="inlineStr">
        <is>
          <t>Qualified</t>
        </is>
      </c>
      <c r="AB24" s="27" t="inlineStr"/>
      <c r="AC24" s="32" t="inlineStr">
        <is>
          <t>Passed</t>
        </is>
      </c>
      <c r="AD24" s="32" t="inlineStr">
        <is>
          <t>Passed</t>
        </is>
      </c>
    </row>
    <row r="25">
      <c r="A25" s="25" t="inlineStr">
        <is>
          <t>LEAD-0021</t>
        </is>
      </c>
      <c r="B25" s="26" t="inlineStr">
        <is>
          <t>Matt Gray</t>
        </is>
      </c>
      <c r="C25" s="26" t="inlineStr">
        <is>
          <t>Business</t>
        </is>
      </c>
      <c r="D25" s="26" t="inlineStr">
        <is>
          <t>US</t>
        </is>
      </c>
      <c r="E25" s="26" t="inlineStr">
        <is>
          <t>EN</t>
        </is>
      </c>
      <c r="F25" s="26" t="inlineStr">
        <is>
          <t>YouTube</t>
        </is>
      </c>
      <c r="G25" s="26" t="inlineStr">
        <is>
          <t>https://www.youtube.com/channel/UChYHKRass0kZvBkVKQuZElQ</t>
        </is>
      </c>
      <c r="H25" s="26" t="inlineStr">
        <is>
          <t>UChYHKRass0kZvBkVKQuZElQ</t>
        </is>
      </c>
      <c r="I25" s="26" t="inlineStr">
        <is>
          <t>https://fos.now/byHUKC</t>
        </is>
      </c>
      <c r="J25" s="37" t="n">
        <v>288000</v>
      </c>
      <c r="K25" s="34" t="inlineStr">
        <is>
          <t>2026-09-03</t>
        </is>
      </c>
      <c r="L25" s="26" t="inlineStr">
        <is>
          <t>https://www.youtube.com/channel/UChYHKRass0kZvBkVKQuZElQ</t>
        </is>
      </c>
      <c r="M25" s="37" t="n">
        <v>21</v>
      </c>
      <c r="N25" s="37" t="n">
        <v>42</v>
      </c>
      <c r="O25" s="26" t="inlineStr">
        <is>
          <t>Established channel: 288,000 subscribers, 1275 videos published</t>
        </is>
      </c>
      <c r="P25" s="26" t="inlineStr">
        <is>
          <t>https://www.youtube.com/channel/UChYHKRass0kZvBkVKQuZElQ</t>
        </is>
      </c>
      <c r="Q25" s="26" t="inlineStr">
        <is>
          <t>Signals: automate, newsletter, high_upload_frequency, relevant_topic_category</t>
        </is>
      </c>
      <c r="R25" s="26" t="inlineStr">
        <is>
          <t>https://www.youtube.com/channel/UChYHKRass0kZvBkVKQuZElQ</t>
        </is>
      </c>
      <c r="S25" s="26" t="inlineStr">
        <is>
          <t>website</t>
        </is>
      </c>
      <c r="T25" s="26" t="inlineStr">
        <is>
          <t>nan</t>
        </is>
      </c>
      <c r="U25" s="26" t="inlineStr">
        <is>
          <t>https://fos.now/byHUKC</t>
        </is>
      </c>
      <c r="V25" s="26" t="inlineStr">
        <is>
          <t>https://www.youtube.com/channel/UChYHKRass0kZvBkVKQuZElQ</t>
        </is>
      </c>
      <c r="W25" s="26" t="inlineStr">
        <is>
          <t>https://www.youtube.com/channel/UChYHKRass0kZvBkVKQuZElQ</t>
        </is>
      </c>
      <c r="X25" s="34" t="inlineStr">
        <is>
          <t>2026-09-04</t>
        </is>
      </c>
      <c r="Y25" s="26" t="inlineStr">
        <is>
          <t>A</t>
        </is>
      </c>
      <c r="Z25" s="26" t="inlineStr">
        <is>
          <t>nan</t>
        </is>
      </c>
      <c r="AA25" s="26" t="inlineStr">
        <is>
          <t>Qualified</t>
        </is>
      </c>
      <c r="AB25" s="27" t="inlineStr"/>
      <c r="AC25" s="32" t="inlineStr">
        <is>
          <t>Passed</t>
        </is>
      </c>
      <c r="AD25" s="32" t="inlineStr">
        <is>
          <t>Passed</t>
        </is>
      </c>
    </row>
    <row r="26">
      <c r="A26" s="25" t="inlineStr">
        <is>
          <t>LEAD-0022</t>
        </is>
      </c>
      <c r="B26" s="26" t="inlineStr">
        <is>
          <t>Digital Social Hour Podcast by Sean Kelly</t>
        </is>
      </c>
      <c r="C26" s="26" t="inlineStr">
        <is>
          <t>Tech</t>
        </is>
      </c>
      <c r="D26" s="26" t="inlineStr">
        <is>
          <t>US</t>
        </is>
      </c>
      <c r="E26" s="26" t="inlineStr">
        <is>
          <t>EN</t>
        </is>
      </c>
      <c r="F26" s="26" t="inlineStr">
        <is>
          <t>YouTube</t>
        </is>
      </c>
      <c r="G26" s="26" t="inlineStr">
        <is>
          <t>https://www.youtube.com/channel/UCe9PesyMmm3KWmIzsE4zkxA</t>
        </is>
      </c>
      <c r="H26" s="26" t="inlineStr">
        <is>
          <t>UCe9PesyMmm3KWmIzsE4zkxA</t>
        </is>
      </c>
      <c r="I26" s="26" t="inlineStr">
        <is>
          <t>https://www.youtube.com/channel/UCe9PesyMmm3KWmIzsE4zkxA</t>
        </is>
      </c>
      <c r="J26" s="37" t="n">
        <v>1270000</v>
      </c>
      <c r="K26" s="34" t="inlineStr">
        <is>
          <t>2026-09-04</t>
        </is>
      </c>
      <c r="L26" s="26" t="inlineStr">
        <is>
          <t>https://www.youtube.com/channel/UCe9PesyMmm3KWmIzsE4zkxA</t>
        </is>
      </c>
      <c r="M26" s="37" t="n">
        <v>375</v>
      </c>
      <c r="N26" s="37" t="n">
        <v>750</v>
      </c>
      <c r="O26" s="26" t="inlineStr">
        <is>
          <t>Keywords: sponsor, #ad</t>
        </is>
      </c>
      <c r="P26" s="26" t="inlineStr">
        <is>
          <t>https://www.youtube.com/channel/UCe9PesyMmm3KWmIzsE4zkxA</t>
        </is>
      </c>
      <c r="Q26" s="26" t="inlineStr">
        <is>
          <t>Signals: high_upload_frequency</t>
        </is>
      </c>
      <c r="R26" s="26" t="inlineStr">
        <is>
          <t>https://www.youtube.com/channel/UCe9PesyMmm3KWmIzsE4zkxA</t>
        </is>
      </c>
      <c r="S26" s="26" t="inlineStr">
        <is>
          <t>email</t>
        </is>
      </c>
      <c r="T26" s="26" t="inlineStr">
        <is>
          <t>seank2019@gmail.com</t>
        </is>
      </c>
      <c r="U26" s="26" t="inlineStr">
        <is>
          <t>https://www.youtube.com/channel/UCe9PesyMmm3KWmIzsE4zkxA</t>
        </is>
      </c>
      <c r="V26" s="26" t="inlineStr">
        <is>
          <t>https://www.youtube.com/channel/UCe9PesyMmm3KWmIzsE4zkxA</t>
        </is>
      </c>
      <c r="W26" s="26" t="inlineStr">
        <is>
          <t>https://www.youtube.com/channel/UCe9PesyMmm3KWmIzsE4zkxA</t>
        </is>
      </c>
      <c r="X26" s="34" t="inlineStr">
        <is>
          <t>2026-09-04</t>
        </is>
      </c>
      <c r="Y26" s="26" t="inlineStr">
        <is>
          <t>A</t>
        </is>
      </c>
      <c r="Z26" s="26" t="inlineStr">
        <is>
          <t>nan</t>
        </is>
      </c>
      <c r="AA26" s="26" t="inlineStr">
        <is>
          <t>Qualified</t>
        </is>
      </c>
      <c r="AB26" s="27" t="inlineStr"/>
      <c r="AC26" s="32" t="inlineStr">
        <is>
          <t>Passed</t>
        </is>
      </c>
      <c r="AD26" s="32" t="inlineStr">
        <is>
          <t>Passed</t>
        </is>
      </c>
    </row>
    <row r="27">
      <c r="A27" s="25" t="inlineStr">
        <is>
          <t>LEAD-0023</t>
        </is>
      </c>
      <c r="B27" s="26" t="inlineStr">
        <is>
          <t>NOAHFINNCE</t>
        </is>
      </c>
      <c r="C27" s="26" t="inlineStr">
        <is>
          <t>Lifestyle</t>
        </is>
      </c>
      <c r="D27" s="26" t="inlineStr">
        <is>
          <t>GB</t>
        </is>
      </c>
      <c r="E27" s="26" t="inlineStr">
        <is>
          <t>EN</t>
        </is>
      </c>
      <c r="F27" s="26" t="inlineStr">
        <is>
          <t>YouTube</t>
        </is>
      </c>
      <c r="G27" s="26" t="inlineStr">
        <is>
          <t>https://www.youtube.com/channel/UCgSO-swInyhWSUpgKIDrnjQ</t>
        </is>
      </c>
      <c r="H27" s="26" t="inlineStr">
        <is>
          <t>UCgSO-swInyhWSUpgKIDrnjQ</t>
        </is>
      </c>
      <c r="I27" s="26" t="inlineStr">
        <is>
          <t>https://ffm.to/toosensitive</t>
        </is>
      </c>
      <c r="J27" s="37" t="n">
        <v>1020000</v>
      </c>
      <c r="K27" s="34" t="inlineStr">
        <is>
          <t>2026-09-01</t>
        </is>
      </c>
      <c r="L27" s="26" t="inlineStr">
        <is>
          <t>https://www.youtube.com/channel/UCgSO-swInyhWSUpgKIDrnjQ</t>
        </is>
      </c>
      <c r="M27" s="37" t="n">
        <v>6</v>
      </c>
      <c r="N27" s="37" t="n">
        <v>12</v>
      </c>
      <c r="O27" s="26" t="inlineStr">
        <is>
          <t>Keywords: merch, patreon, buy my</t>
        </is>
      </c>
      <c r="P27" s="26" t="inlineStr">
        <is>
          <t>https://www.youtube.com/channel/UCgSO-swInyhWSUpgKIDrnjQ</t>
        </is>
      </c>
      <c r="Q27" s="26" t="inlineStr">
        <is>
          <t>Signals: high_upload_frequency</t>
        </is>
      </c>
      <c r="R27" s="26" t="inlineStr">
        <is>
          <t>https://www.youtube.com/channel/UCgSO-swInyhWSUpgKIDrnjQ</t>
        </is>
      </c>
      <c r="S27" s="26" t="inlineStr">
        <is>
          <t>website</t>
        </is>
      </c>
      <c r="T27" s="26" t="inlineStr">
        <is>
          <t>nan</t>
        </is>
      </c>
      <c r="U27" s="26" t="inlineStr">
        <is>
          <t>https://ffm.to/toosensitive</t>
        </is>
      </c>
      <c r="V27" s="26" t="inlineStr">
        <is>
          <t>https://www.youtube.com/channel/UCgSO-swInyhWSUpgKIDrnjQ</t>
        </is>
      </c>
      <c r="W27" s="26" t="inlineStr">
        <is>
          <t>https://www.youtube.com/channel/UCgSO-swInyhWSUpgKIDrnjQ</t>
        </is>
      </c>
      <c r="X27" s="34" t="inlineStr">
        <is>
          <t>2026-09-04</t>
        </is>
      </c>
      <c r="Y27" s="26" t="inlineStr">
        <is>
          <t>B</t>
        </is>
      </c>
      <c r="Z27" s="26" t="inlineStr">
        <is>
          <t>nan</t>
        </is>
      </c>
      <c r="AA27" s="26" t="inlineStr">
        <is>
          <t>Qualified</t>
        </is>
      </c>
      <c r="AB27" s="27" t="inlineStr"/>
      <c r="AC27" s="32" t="inlineStr">
        <is>
          <t>Passed</t>
        </is>
      </c>
      <c r="AD27" s="32" t="inlineStr">
        <is>
          <t>Passed</t>
        </is>
      </c>
    </row>
    <row r="28">
      <c r="A28" s="25" t="inlineStr">
        <is>
          <t>LEAD-0024</t>
        </is>
      </c>
      <c r="B28" s="26" t="inlineStr">
        <is>
          <t>Timcast IRL</t>
        </is>
      </c>
      <c r="C28" s="26" t="inlineStr">
        <is>
          <t>Tech</t>
        </is>
      </c>
      <c r="D28" s="26" t="inlineStr">
        <is>
          <t>US</t>
        </is>
      </c>
      <c r="E28" s="26" t="inlineStr">
        <is>
          <t>EN</t>
        </is>
      </c>
      <c r="F28" s="26" t="inlineStr">
        <is>
          <t>YouTube</t>
        </is>
      </c>
      <c r="G28" s="26" t="inlineStr">
        <is>
          <t>https://www.youtube.com/channel/UCLwNTXWEjVd2qIHLcXxQWxA</t>
        </is>
      </c>
      <c r="H28" s="26" t="inlineStr">
        <is>
          <t>UCLwNTXWEjVd2qIHLcXxQWxA</t>
        </is>
      </c>
      <c r="I28" s="26" t="inlineStr">
        <is>
          <t>https://www.youtube.com/channel/UCLwNTXWEjVd2qIHLcXxQWxA</t>
        </is>
      </c>
      <c r="J28" s="37" t="n">
        <v>2770000</v>
      </c>
      <c r="K28" s="34" t="inlineStr">
        <is>
          <t>2026-09-04</t>
        </is>
      </c>
      <c r="L28" s="26" t="inlineStr">
        <is>
          <t>https://www.youtube.com/channel/UCLwNTXWEjVd2qIHLcXxQWxA</t>
        </is>
      </c>
      <c r="M28" s="37" t="n">
        <v>166</v>
      </c>
      <c r="N28" s="37" t="n">
        <v>332</v>
      </c>
      <c r="O28" s="26" t="inlineStr">
        <is>
          <t>Keywords: sponsor, merch</t>
        </is>
      </c>
      <c r="P28" s="26" t="inlineStr">
        <is>
          <t>https://www.youtube.com/channel/UCLwNTXWEjVd2qIHLcXxQWxA</t>
        </is>
      </c>
      <c r="Q28" s="26" t="inlineStr">
        <is>
          <t>Signals: clips, high_upload_frequency</t>
        </is>
      </c>
      <c r="R28" s="26" t="inlineStr">
        <is>
          <t>https://www.youtube.com/channel/UCLwNTXWEjVd2qIHLcXxQWxA</t>
        </is>
      </c>
      <c r="S28" s="26" t="inlineStr">
        <is>
          <t>email</t>
        </is>
      </c>
      <c r="T28" s="26" t="inlineStr">
        <is>
          <t>sponsorships@rumble.com</t>
        </is>
      </c>
      <c r="U28" s="26" t="inlineStr">
        <is>
          <t>https://www.youtube.com/channel/UCLwNTXWEjVd2qIHLcXxQWxA</t>
        </is>
      </c>
      <c r="V28" s="26" t="inlineStr">
        <is>
          <t>https://www.youtube.com/channel/UCLwNTXWEjVd2qIHLcXxQWxA</t>
        </is>
      </c>
      <c r="W28" s="26" t="inlineStr">
        <is>
          <t>https://www.youtube.com/channel/UCLwNTXWEjVd2qIHLcXxQWxA</t>
        </is>
      </c>
      <c r="X28" s="34" t="inlineStr">
        <is>
          <t>2026-09-04</t>
        </is>
      </c>
      <c r="Y28" s="26" t="inlineStr">
        <is>
          <t>A</t>
        </is>
      </c>
      <c r="Z28" s="26" t="inlineStr">
        <is>
          <t>nan</t>
        </is>
      </c>
      <c r="AA28" s="26" t="inlineStr">
        <is>
          <t>Qualified</t>
        </is>
      </c>
      <c r="AB28" s="27" t="inlineStr"/>
      <c r="AC28" s="32" t="inlineStr">
        <is>
          <t>Passed</t>
        </is>
      </c>
      <c r="AD28" s="32" t="inlineStr">
        <is>
          <t>Passed</t>
        </is>
      </c>
    </row>
    <row r="29">
      <c r="A29" s="25" t="inlineStr">
        <is>
          <t>LEAD-0025</t>
        </is>
      </c>
      <c r="B29" s="26" t="inlineStr">
        <is>
          <t>Home RenoVision DIY</t>
        </is>
      </c>
      <c r="C29" s="26" t="inlineStr">
        <is>
          <t>Lifestyle</t>
        </is>
      </c>
      <c r="D29" s="26" t="inlineStr">
        <is>
          <t>US</t>
        </is>
      </c>
      <c r="E29" s="26" t="inlineStr">
        <is>
          <t>EN</t>
        </is>
      </c>
      <c r="F29" s="26" t="inlineStr">
        <is>
          <t>YouTube</t>
        </is>
      </c>
      <c r="G29" s="26" t="inlineStr">
        <is>
          <t>https://www.youtube.com/channel/UCnorhjQR4zJkT7AVNhu395Q</t>
        </is>
      </c>
      <c r="H29" s="26" t="inlineStr">
        <is>
          <t>UCnorhjQR4zJkT7AVNhu395Q</t>
        </is>
      </c>
      <c r="I29" s="26" t="inlineStr">
        <is>
          <t>https://www.youtube.com/channel/UCnorhjQR4zJkT7AVNhu395Q</t>
        </is>
      </c>
      <c r="J29" s="37" t="n">
        <v>4260000</v>
      </c>
      <c r="K29" s="34" t="inlineStr">
        <is>
          <t>2026-09-02</t>
        </is>
      </c>
      <c r="L29" s="26" t="inlineStr">
        <is>
          <t>https://www.youtube.com/channel/UCnorhjQR4zJkT7AVNhu395Q</t>
        </is>
      </c>
      <c r="M29" s="37" t="n">
        <v>14</v>
      </c>
      <c r="N29" s="37" t="n">
        <v>28</v>
      </c>
      <c r="O29" s="26" t="inlineStr">
        <is>
          <t>Keywords: affiliate</t>
        </is>
      </c>
      <c r="P29" s="26" t="inlineStr">
        <is>
          <t>https://www.youtube.com/channel/UCnorhjQR4zJkT7AVNhu395Q</t>
        </is>
      </c>
      <c r="Q29" s="26" t="inlineStr">
        <is>
          <t>Signals: high_upload_frequency</t>
        </is>
      </c>
      <c r="R29" s="26" t="inlineStr">
        <is>
          <t>https://www.youtube.com/channel/UCnorhjQR4zJkT7AVNhu395Q</t>
        </is>
      </c>
      <c r="S29" s="26" t="inlineStr">
        <is>
          <t>email</t>
        </is>
      </c>
      <c r="T29" s="26" t="inlineStr">
        <is>
          <t>info@homerenovisiondiy.com</t>
        </is>
      </c>
      <c r="U29" s="26" t="inlineStr">
        <is>
          <t>https://www.youtube.com/channel/UCnorhjQR4zJkT7AVNhu395Q</t>
        </is>
      </c>
      <c r="V29" s="26" t="inlineStr">
        <is>
          <t>https://www.youtube.com/channel/UCnorhjQR4zJkT7AVNhu395Q</t>
        </is>
      </c>
      <c r="W29" s="26" t="inlineStr">
        <is>
          <t>https://www.youtube.com/channel/UCnorhjQR4zJkT7AVNhu395Q</t>
        </is>
      </c>
      <c r="X29" s="34" t="inlineStr">
        <is>
          <t>2026-09-04</t>
        </is>
      </c>
      <c r="Y29" s="26" t="inlineStr">
        <is>
          <t>A</t>
        </is>
      </c>
      <c r="Z29" s="26" t="inlineStr">
        <is>
          <t>nan</t>
        </is>
      </c>
      <c r="AA29" s="26" t="inlineStr">
        <is>
          <t>Qualified</t>
        </is>
      </c>
      <c r="AB29" s="27" t="inlineStr"/>
      <c r="AC29" s="32" t="inlineStr">
        <is>
          <t>Passed</t>
        </is>
      </c>
      <c r="AD29" s="32" t="inlineStr">
        <is>
          <t>Passed</t>
        </is>
      </c>
    </row>
    <row r="30">
      <c r="A30" s="25" t="inlineStr">
        <is>
          <t>LEAD-0026</t>
        </is>
      </c>
      <c r="B30" s="26" t="inlineStr">
        <is>
          <t>The Unfound Podcast Channel</t>
        </is>
      </c>
      <c r="C30" s="26" t="inlineStr">
        <is>
          <t>Lifestyle</t>
        </is>
      </c>
      <c r="D30" s="26" t="inlineStr">
        <is>
          <t>US</t>
        </is>
      </c>
      <c r="E30" s="26" t="inlineStr">
        <is>
          <t>EN</t>
        </is>
      </c>
      <c r="F30" s="26" t="inlineStr">
        <is>
          <t>YouTube</t>
        </is>
      </c>
      <c r="G30" s="26" t="inlineStr">
        <is>
          <t>https://www.youtube.com/channel/UCz4bh2ppqACeF7BdKw_93eA</t>
        </is>
      </c>
      <c r="H30" s="26" t="inlineStr">
        <is>
          <t>UCz4bh2ppqACeF7BdKw_93eA</t>
        </is>
      </c>
      <c r="I30" s="26" t="inlineStr">
        <is>
          <t>https://theunfoundpodcast.com/</t>
        </is>
      </c>
      <c r="J30" s="37" t="n">
        <v>19600</v>
      </c>
      <c r="K30" s="34" t="inlineStr">
        <is>
          <t>2026-09-03</t>
        </is>
      </c>
      <c r="L30" s="26" t="inlineStr">
        <is>
          <t>https://www.youtube.com/channel/UCz4bh2ppqACeF7BdKw_93eA</t>
        </is>
      </c>
      <c r="M30" s="37" t="n">
        <v>13</v>
      </c>
      <c r="N30" s="37" t="n">
        <v>26</v>
      </c>
      <c r="O30" s="26" t="inlineStr">
        <is>
          <t>Keywords: patreon, consulting</t>
        </is>
      </c>
      <c r="P30" s="26" t="inlineStr">
        <is>
          <t>https://www.youtube.com/channel/UCz4bh2ppqACeF7BdKw_93eA</t>
        </is>
      </c>
      <c r="Q30" s="26" t="inlineStr">
        <is>
          <t>Signals: high_upload_frequency</t>
        </is>
      </c>
      <c r="R30" s="26" t="inlineStr">
        <is>
          <t>https://www.youtube.com/channel/UCz4bh2ppqACeF7BdKw_93eA</t>
        </is>
      </c>
      <c r="S30" s="26" t="inlineStr">
        <is>
          <t>website</t>
        </is>
      </c>
      <c r="T30" s="26" t="inlineStr">
        <is>
          <t>nan</t>
        </is>
      </c>
      <c r="U30" s="26" t="inlineStr">
        <is>
          <t>https://theunfoundpodcast.com/</t>
        </is>
      </c>
      <c r="V30" s="26" t="inlineStr">
        <is>
          <t>https://www.youtube.com/channel/UCz4bh2ppqACeF7BdKw_93eA</t>
        </is>
      </c>
      <c r="W30" s="26" t="inlineStr">
        <is>
          <t>https://www.youtube.com/channel/UCz4bh2ppqACeF7BdKw_93eA</t>
        </is>
      </c>
      <c r="X30" s="34" t="inlineStr">
        <is>
          <t>2026-09-04</t>
        </is>
      </c>
      <c r="Y30" s="26" t="inlineStr">
        <is>
          <t>A</t>
        </is>
      </c>
      <c r="Z30" s="26" t="inlineStr">
        <is>
          <t>nan</t>
        </is>
      </c>
      <c r="AA30" s="26" t="inlineStr">
        <is>
          <t>Qualified</t>
        </is>
      </c>
      <c r="AB30" s="27" t="inlineStr"/>
      <c r="AC30" s="32" t="inlineStr">
        <is>
          <t>Passed</t>
        </is>
      </c>
      <c r="AD30" s="32" t="inlineStr">
        <is>
          <t>Passed</t>
        </is>
      </c>
    </row>
    <row r="31">
      <c r="A31" s="25" t="inlineStr">
        <is>
          <t>LEAD-0027</t>
        </is>
      </c>
      <c r="B31" s="26" t="inlineStr">
        <is>
          <t>Operation Niki</t>
        </is>
      </c>
      <c r="C31" s="26" t="inlineStr">
        <is>
          <t>Lifestyle</t>
        </is>
      </c>
      <c r="D31" s="26" t="inlineStr">
        <is>
          <t>US</t>
        </is>
      </c>
      <c r="E31" s="26" t="inlineStr">
        <is>
          <t>EN</t>
        </is>
      </c>
      <c r="F31" s="26" t="inlineStr">
        <is>
          <t>YouTube</t>
        </is>
      </c>
      <c r="G31" s="26" t="inlineStr">
        <is>
          <t>https://www.youtube.com/channel/UCOb-GPHSS-j_AXBae9FFNgw</t>
        </is>
      </c>
      <c r="H31" s="26" t="inlineStr">
        <is>
          <t>UCOb-GPHSS-j_AXBae9FFNgw</t>
        </is>
      </c>
      <c r="I31" s="26" t="inlineStr">
        <is>
          <t>https://elink.io/p/operationniki-bio-link-9a0cca5e</t>
        </is>
      </c>
      <c r="J31" s="37" t="n">
        <v>1370000</v>
      </c>
      <c r="K31" s="34" t="inlineStr">
        <is>
          <t>2026-09-01</t>
        </is>
      </c>
      <c r="L31" s="26" t="inlineStr">
        <is>
          <t>https://www.youtube.com/channel/UCOb-GPHSS-j_AXBae9FFNgw</t>
        </is>
      </c>
      <c r="M31" s="37" t="n">
        <v>13</v>
      </c>
      <c r="N31" s="37" t="n">
        <v>26</v>
      </c>
      <c r="O31" s="26" t="inlineStr">
        <is>
          <t>Keywords: #ad</t>
        </is>
      </c>
      <c r="P31" s="26" t="inlineStr">
        <is>
          <t>https://www.youtube.com/channel/UCOb-GPHSS-j_AXBae9FFNgw</t>
        </is>
      </c>
      <c r="Q31" s="26" t="inlineStr">
        <is>
          <t>Signals: high_upload_frequency</t>
        </is>
      </c>
      <c r="R31" s="26" t="inlineStr">
        <is>
          <t>https://www.youtube.com/channel/UCOb-GPHSS-j_AXBae9FFNgw</t>
        </is>
      </c>
      <c r="S31" s="26" t="inlineStr">
        <is>
          <t>website</t>
        </is>
      </c>
      <c r="T31" s="26" t="inlineStr">
        <is>
          <t>nan</t>
        </is>
      </c>
      <c r="U31" s="26" t="inlineStr">
        <is>
          <t>https://elink.io/p/operationniki-bio-link-9a0cca5e</t>
        </is>
      </c>
      <c r="V31" s="26" t="inlineStr">
        <is>
          <t>https://www.youtube.com/channel/UCOb-GPHSS-j_AXBae9FFNgw</t>
        </is>
      </c>
      <c r="W31" s="26" t="inlineStr">
        <is>
          <t>https://www.youtube.com/channel/UCOb-GPHSS-j_AXBae9FFNgw</t>
        </is>
      </c>
      <c r="X31" s="34" t="inlineStr">
        <is>
          <t>2026-09-04</t>
        </is>
      </c>
      <c r="Y31" s="26" t="inlineStr">
        <is>
          <t>B</t>
        </is>
      </c>
      <c r="Z31" s="26" t="inlineStr">
        <is>
          <t>nan</t>
        </is>
      </c>
      <c r="AA31" s="26" t="inlineStr">
        <is>
          <t>Qualified</t>
        </is>
      </c>
      <c r="AB31" s="27" t="inlineStr"/>
      <c r="AC31" s="32" t="inlineStr">
        <is>
          <t>Passed</t>
        </is>
      </c>
      <c r="AD31" s="32" t="inlineStr">
        <is>
          <t>Passed</t>
        </is>
      </c>
    </row>
    <row r="32">
      <c r="A32" s="25" t="inlineStr">
        <is>
          <t>LEAD-0028</t>
        </is>
      </c>
      <c r="B32" s="26" t="inlineStr">
        <is>
          <t>Thais Gibson - Personal Development School</t>
        </is>
      </c>
      <c r="C32" s="26" t="inlineStr">
        <is>
          <t>Fitness</t>
        </is>
      </c>
      <c r="D32" s="26" t="inlineStr">
        <is>
          <t>US</t>
        </is>
      </c>
      <c r="E32" s="26" t="inlineStr">
        <is>
          <t>EN</t>
        </is>
      </c>
      <c r="F32" s="26" t="inlineStr">
        <is>
          <t>YouTube</t>
        </is>
      </c>
      <c r="G32" s="26" t="inlineStr">
        <is>
          <t>https://www.youtube.com/channel/UCHQ4lSaKRap5HyrpitrTOhQ</t>
        </is>
      </c>
      <c r="H32" s="26" t="inlineStr">
        <is>
          <t>UCHQ4lSaKRap5HyrpitrTOhQ</t>
        </is>
      </c>
      <c r="I32" s="26" t="inlineStr">
        <is>
          <t>https://personaldevelopmentschool.com?utm_source=youtube&amp;utm_campaign=homepage&amp;utm_medium=organic&amp;utm_content=main-channel-link&amp;el=youtube</t>
        </is>
      </c>
      <c r="J32" s="37" t="n">
        <v>529000</v>
      </c>
      <c r="K32" s="34" t="inlineStr">
        <is>
          <t>2026-09-04</t>
        </is>
      </c>
      <c r="L32" s="26" t="inlineStr">
        <is>
          <t>https://www.youtube.com/channel/UCHQ4lSaKRap5HyrpitrTOhQ</t>
        </is>
      </c>
      <c r="M32" s="37" t="n">
        <v>62</v>
      </c>
      <c r="N32" s="37" t="n">
        <v>124</v>
      </c>
      <c r="O32" s="26" t="inlineStr">
        <is>
          <t>Established channel: 529,000 subscribers, 3847 videos published</t>
        </is>
      </c>
      <c r="P32" s="26" t="inlineStr">
        <is>
          <t>https://www.youtube.com/channel/UCHQ4lSaKRap5HyrpitrTOhQ</t>
        </is>
      </c>
      <c r="Q32" s="26" t="inlineStr">
        <is>
          <t>Signals: high_upload_frequency</t>
        </is>
      </c>
      <c r="R32" s="26" t="inlineStr">
        <is>
          <t>https://www.youtube.com/channel/UCHQ4lSaKRap5HyrpitrTOhQ</t>
        </is>
      </c>
      <c r="S32" s="26" t="inlineStr">
        <is>
          <t>website</t>
        </is>
      </c>
      <c r="T32" s="26" t="inlineStr">
        <is>
          <t>nan</t>
        </is>
      </c>
      <c r="U32" s="26" t="inlineStr">
        <is>
          <t>https://personaldevelopmentschool.com?utm_source=youtube&amp;utm_campaign=homepage&amp;utm_medium=organic&amp;utm_content=main-channel-link&amp;el=youtube</t>
        </is>
      </c>
      <c r="V32" s="26" t="inlineStr">
        <is>
          <t>https://www.youtube.com/channel/UCHQ4lSaKRap5HyrpitrTOhQ</t>
        </is>
      </c>
      <c r="W32" s="26" t="inlineStr">
        <is>
          <t>https://www.youtube.com/channel/UCHQ4lSaKRap5HyrpitrTOhQ</t>
        </is>
      </c>
      <c r="X32" s="34" t="inlineStr">
        <is>
          <t>2026-09-04</t>
        </is>
      </c>
      <c r="Y32" s="26" t="inlineStr">
        <is>
          <t>B</t>
        </is>
      </c>
      <c r="Z32" s="26" t="inlineStr">
        <is>
          <t>nan</t>
        </is>
      </c>
      <c r="AA32" s="26" t="inlineStr">
        <is>
          <t>Qualified</t>
        </is>
      </c>
      <c r="AB32" s="27" t="inlineStr"/>
      <c r="AC32" s="32" t="inlineStr">
        <is>
          <t>Passed</t>
        </is>
      </c>
      <c r="AD32" s="32" t="inlineStr">
        <is>
          <t>Passed</t>
        </is>
      </c>
    </row>
    <row r="33">
      <c r="A33" s="25" t="inlineStr">
        <is>
          <t>LEAD-0029</t>
        </is>
      </c>
      <c r="B33" s="26" t="inlineStr">
        <is>
          <t>Stanford Online</t>
        </is>
      </c>
      <c r="C33" s="26" t="inlineStr">
        <is>
          <t>Tech</t>
        </is>
      </c>
      <c r="D33" s="26" t="inlineStr">
        <is>
          <t>US</t>
        </is>
      </c>
      <c r="E33" s="26" t="inlineStr">
        <is>
          <t>EN</t>
        </is>
      </c>
      <c r="F33" s="26" t="inlineStr">
        <is>
          <t>YouTube</t>
        </is>
      </c>
      <c r="G33" s="26" t="inlineStr">
        <is>
          <t>https://www.youtube.com/channel/UCBa5G_ESCn8Yd4vw5U-gIcg</t>
        </is>
      </c>
      <c r="H33" s="26" t="inlineStr">
        <is>
          <t>UCBa5G_ESCn8Yd4vw5U-gIcg</t>
        </is>
      </c>
      <c r="I33" s="26" t="inlineStr">
        <is>
          <t>https://online.stanford.edu/</t>
        </is>
      </c>
      <c r="J33" s="37" t="n">
        <v>1260000</v>
      </c>
      <c r="K33" s="34" t="inlineStr">
        <is>
          <t>2026-09-03</t>
        </is>
      </c>
      <c r="L33" s="26" t="inlineStr">
        <is>
          <t>https://www.youtube.com/channel/UCBa5G_ESCn8Yd4vw5U-gIcg</t>
        </is>
      </c>
      <c r="M33" s="37" t="n">
        <v>42</v>
      </c>
      <c r="N33" s="37" t="n">
        <v>84</v>
      </c>
      <c r="O33" s="26" t="inlineStr">
        <is>
          <t>Keywords: collab</t>
        </is>
      </c>
      <c r="P33" s="26" t="inlineStr">
        <is>
          <t>https://www.youtube.com/channel/UCBa5G_ESCn8Yd4vw5U-gIcg</t>
        </is>
      </c>
      <c r="Q33" s="26" t="inlineStr">
        <is>
          <t>Signals: high_upload_frequency, relevant_topic_category</t>
        </is>
      </c>
      <c r="R33" s="26" t="inlineStr">
        <is>
          <t>https://www.youtube.com/channel/UCBa5G_ESCn8Yd4vw5U-gIcg</t>
        </is>
      </c>
      <c r="S33" s="26" t="inlineStr">
        <is>
          <t>website</t>
        </is>
      </c>
      <c r="T33" s="26" t="inlineStr">
        <is>
          <t>nan</t>
        </is>
      </c>
      <c r="U33" s="26" t="inlineStr">
        <is>
          <t>https://online.stanford.edu/</t>
        </is>
      </c>
      <c r="V33" s="26" t="inlineStr">
        <is>
          <t>https://www.youtube.com/channel/UCBa5G_ESCn8Yd4vw5U-gIcg</t>
        </is>
      </c>
      <c r="W33" s="26" t="inlineStr">
        <is>
          <t>https://www.youtube.com/channel/UCBa5G_ESCn8Yd4vw5U-gIcg</t>
        </is>
      </c>
      <c r="X33" s="34" t="inlineStr">
        <is>
          <t>2026-09-04</t>
        </is>
      </c>
      <c r="Y33" s="26" t="inlineStr">
        <is>
          <t>A</t>
        </is>
      </c>
      <c r="Z33" s="26" t="inlineStr">
        <is>
          <t>nan</t>
        </is>
      </c>
      <c r="AA33" s="26" t="inlineStr">
        <is>
          <t>Qualified</t>
        </is>
      </c>
      <c r="AB33" s="27" t="inlineStr"/>
      <c r="AC33" s="32" t="inlineStr">
        <is>
          <t>Passed</t>
        </is>
      </c>
      <c r="AD33" s="32" t="inlineStr">
        <is>
          <t>Passed</t>
        </is>
      </c>
    </row>
    <row r="34">
      <c r="A34" s="25" t="inlineStr">
        <is>
          <t>LEAD-0030</t>
        </is>
      </c>
      <c r="B34" s="26" t="inlineStr">
        <is>
          <t>Caleb Ralston</t>
        </is>
      </c>
      <c r="C34" s="26" t="inlineStr">
        <is>
          <t>Lifestyle</t>
        </is>
      </c>
      <c r="D34" s="26" t="inlineStr">
        <is>
          <t>US</t>
        </is>
      </c>
      <c r="E34" s="26" t="inlineStr">
        <is>
          <t>EN</t>
        </is>
      </c>
      <c r="F34" s="26" t="inlineStr">
        <is>
          <t>YouTube</t>
        </is>
      </c>
      <c r="G34" s="26" t="inlineStr">
        <is>
          <t>https://www.youtube.com/channel/UCbc7A6bNtpyybJbGvIi0PNQ</t>
        </is>
      </c>
      <c r="H34" s="26" t="inlineStr">
        <is>
          <t>UCbc7A6bNtpyybJbGvIi0PNQ</t>
        </is>
      </c>
      <c r="I34" s="26" t="inlineStr">
        <is>
          <t>https://calebralston.com/select</t>
        </is>
      </c>
      <c r="J34" s="37" t="n">
        <v>159000</v>
      </c>
      <c r="K34" s="34" t="inlineStr">
        <is>
          <t>2026-09-03</t>
        </is>
      </c>
      <c r="L34" s="26" t="inlineStr">
        <is>
          <t>https://www.youtube.com/channel/UCbc7A6bNtpyybJbGvIi0PNQ</t>
        </is>
      </c>
      <c r="M34" s="37" t="n">
        <v>24</v>
      </c>
      <c r="N34" s="37" t="n">
        <v>48</v>
      </c>
      <c r="O34" s="26" t="inlineStr">
        <is>
          <t>Keywords: partnered with, consulting</t>
        </is>
      </c>
      <c r="P34" s="26" t="inlineStr">
        <is>
          <t>https://www.youtube.com/channel/UCbc7A6bNtpyybJbGvIi0PNQ</t>
        </is>
      </c>
      <c r="Q34" s="26" t="inlineStr">
        <is>
          <t>Signals: high_upload_frequency</t>
        </is>
      </c>
      <c r="R34" s="26" t="inlineStr">
        <is>
          <t>https://www.youtube.com/channel/UCbc7A6bNtpyybJbGvIi0PNQ</t>
        </is>
      </c>
      <c r="S34" s="26" t="inlineStr">
        <is>
          <t>website</t>
        </is>
      </c>
      <c r="T34" s="26" t="inlineStr">
        <is>
          <t>nan</t>
        </is>
      </c>
      <c r="U34" s="26" t="inlineStr">
        <is>
          <t>https://calebralston.com/select</t>
        </is>
      </c>
      <c r="V34" s="26" t="inlineStr">
        <is>
          <t>https://www.youtube.com/channel/UCbc7A6bNtpyybJbGvIi0PNQ</t>
        </is>
      </c>
      <c r="W34" s="26" t="inlineStr">
        <is>
          <t>https://www.youtube.com/channel/UCbc7A6bNtpyybJbGvIi0PNQ</t>
        </is>
      </c>
      <c r="X34" s="34" t="inlineStr">
        <is>
          <t>2026-09-04</t>
        </is>
      </c>
      <c r="Y34" s="26" t="inlineStr">
        <is>
          <t>A</t>
        </is>
      </c>
      <c r="Z34" s="26" t="inlineStr">
        <is>
          <t>nan</t>
        </is>
      </c>
      <c r="AA34" s="26" t="inlineStr">
        <is>
          <t>Qualified</t>
        </is>
      </c>
      <c r="AB34" s="27" t="inlineStr"/>
      <c r="AC34" s="32" t="inlineStr">
        <is>
          <t>Passed</t>
        </is>
      </c>
      <c r="AD34" s="32" t="inlineStr">
        <is>
          <t>Passed</t>
        </is>
      </c>
    </row>
    <row r="35">
      <c r="A35" s="25" t="inlineStr">
        <is>
          <t>LEAD-0031</t>
        </is>
      </c>
      <c r="B35" s="26" t="inlineStr">
        <is>
          <t>TubeBuddy</t>
        </is>
      </c>
      <c r="C35" s="26" t="inlineStr">
        <is>
          <t>Tech</t>
        </is>
      </c>
      <c r="D35" s="26" t="inlineStr">
        <is>
          <t>US</t>
        </is>
      </c>
      <c r="E35" s="26" t="inlineStr">
        <is>
          <t>EN</t>
        </is>
      </c>
      <c r="F35" s="26" t="inlineStr">
        <is>
          <t>YouTube</t>
        </is>
      </c>
      <c r="G35" s="26" t="inlineStr">
        <is>
          <t>https://www.youtube.com/channel/UCo33niDKpTpgwZ_dohqvylg</t>
        </is>
      </c>
      <c r="H35" s="26" t="inlineStr">
        <is>
          <t>UCo33niDKpTpgwZ_dohqvylg</t>
        </is>
      </c>
      <c r="I35" s="26" t="inlineStr">
        <is>
          <t>https://bit.ly/TBExtension</t>
        </is>
      </c>
      <c r="J35" s="37" t="n">
        <v>933000</v>
      </c>
      <c r="K35" s="34" t="inlineStr">
        <is>
          <t>2026-09-03</t>
        </is>
      </c>
      <c r="L35" s="26" t="inlineStr">
        <is>
          <t>https://www.youtube.com/channel/UCo33niDKpTpgwZ_dohqvylg</t>
        </is>
      </c>
      <c r="M35" s="37" t="n">
        <v>10</v>
      </c>
      <c r="N35" s="37" t="n">
        <v>20</v>
      </c>
      <c r="O35" s="26" t="inlineStr">
        <is>
          <t>Keywords: #ad</t>
        </is>
      </c>
      <c r="P35" s="26" t="inlineStr">
        <is>
          <t>https://www.youtube.com/channel/UCo33niDKpTpgwZ_dohqvylg</t>
        </is>
      </c>
      <c r="Q35" s="26" t="inlineStr">
        <is>
          <t>Signals: shorts, high_upload_frequency, relevant_topic_category</t>
        </is>
      </c>
      <c r="R35" s="26" t="inlineStr">
        <is>
          <t>https://www.youtube.com/channel/UCo33niDKpTpgwZ_dohqvylg</t>
        </is>
      </c>
      <c r="S35" s="26" t="inlineStr">
        <is>
          <t>website</t>
        </is>
      </c>
      <c r="T35" s="26" t="inlineStr">
        <is>
          <t>nan</t>
        </is>
      </c>
      <c r="U35" s="26" t="inlineStr">
        <is>
          <t>https://bit.ly/TBExtension</t>
        </is>
      </c>
      <c r="V35" s="26" t="inlineStr">
        <is>
          <t>https://www.youtube.com/channel/UCo33niDKpTpgwZ_dohqvylg</t>
        </is>
      </c>
      <c r="W35" s="26" t="inlineStr">
        <is>
          <t>https://www.youtube.com/channel/UCo33niDKpTpgwZ_dohqvylg</t>
        </is>
      </c>
      <c r="X35" s="34" t="inlineStr">
        <is>
          <t>2026-09-04</t>
        </is>
      </c>
      <c r="Y35" s="26" t="inlineStr">
        <is>
          <t>A</t>
        </is>
      </c>
      <c r="Z35" s="26" t="inlineStr">
        <is>
          <t>nan</t>
        </is>
      </c>
      <c r="AA35" s="26" t="inlineStr">
        <is>
          <t>Qualified</t>
        </is>
      </c>
      <c r="AB35" s="27" t="inlineStr"/>
      <c r="AC35" s="32" t="inlineStr">
        <is>
          <t>Passed</t>
        </is>
      </c>
      <c r="AD35" s="32" t="inlineStr">
        <is>
          <t>Passed</t>
        </is>
      </c>
    </row>
    <row r="36">
      <c r="A36" s="25" t="inlineStr">
        <is>
          <t>LEAD-0032</t>
        </is>
      </c>
      <c r="B36" s="26" t="inlineStr">
        <is>
          <t>Sam Sulek</t>
        </is>
      </c>
      <c r="C36" s="26" t="inlineStr">
        <is>
          <t>Fitness</t>
        </is>
      </c>
      <c r="D36" s="26" t="inlineStr">
        <is>
          <t>US</t>
        </is>
      </c>
      <c r="E36" s="26" t="inlineStr">
        <is>
          <t>EN</t>
        </is>
      </c>
      <c r="F36" s="26" t="inlineStr">
        <is>
          <t>YouTube</t>
        </is>
      </c>
      <c r="G36" s="26" t="inlineStr">
        <is>
          <t>https://www.youtube.com/channel/UCAuk798iHprjTtwlClkFxMA</t>
        </is>
      </c>
      <c r="H36" s="26" t="inlineStr">
        <is>
          <t>UCAuk798iHprjTtwlClkFxMA</t>
        </is>
      </c>
      <c r="I36" s="26" t="inlineStr">
        <is>
          <t>https://www.tiktok.com/@sam_sulek?_t=8Ywdq9BmTD1&amp;_r=1</t>
        </is>
      </c>
      <c r="J36" s="37" t="n">
        <v>4520000</v>
      </c>
      <c r="K36" s="34" t="inlineStr">
        <is>
          <t>2026-09-03</t>
        </is>
      </c>
      <c r="L36" s="26" t="inlineStr">
        <is>
          <t>https://www.youtube.com/channel/UCAuk798iHprjTtwlClkFxMA</t>
        </is>
      </c>
      <c r="M36" s="37" t="n">
        <v>30</v>
      </c>
      <c r="N36" s="37" t="n">
        <v>60</v>
      </c>
      <c r="O36" s="26" t="inlineStr">
        <is>
          <t>Established channel: 4,520,000 subscribers, 1272 videos published</t>
        </is>
      </c>
      <c r="P36" s="26" t="inlineStr">
        <is>
          <t>https://www.youtube.com/channel/UCAuk798iHprjTtwlClkFxMA</t>
        </is>
      </c>
      <c r="Q36" s="26" t="inlineStr">
        <is>
          <t>Signals: high_upload_frequency</t>
        </is>
      </c>
      <c r="R36" s="26" t="inlineStr">
        <is>
          <t>https://www.youtube.com/channel/UCAuk798iHprjTtwlClkFxMA</t>
        </is>
      </c>
      <c r="S36" s="26" t="inlineStr">
        <is>
          <t>website</t>
        </is>
      </c>
      <c r="T36" s="26" t="inlineStr">
        <is>
          <t>nan</t>
        </is>
      </c>
      <c r="U36" s="26" t="inlineStr">
        <is>
          <t>https://www.tiktok.com/@sam_sulek?_t=8Ywdq9BmTD1&amp;_r=1</t>
        </is>
      </c>
      <c r="V36" s="26" t="inlineStr">
        <is>
          <t>https://www.youtube.com/channel/UCAuk798iHprjTtwlClkFxMA</t>
        </is>
      </c>
      <c r="W36" s="26" t="inlineStr">
        <is>
          <t>https://www.youtube.com/channel/UCAuk798iHprjTtwlClkFxMA</t>
        </is>
      </c>
      <c r="X36" s="34" t="inlineStr">
        <is>
          <t>2026-09-04</t>
        </is>
      </c>
      <c r="Y36" s="26" t="inlineStr">
        <is>
          <t>A</t>
        </is>
      </c>
      <c r="Z36" s="26" t="inlineStr">
        <is>
          <t>nan</t>
        </is>
      </c>
      <c r="AA36" s="26" t="inlineStr">
        <is>
          <t>Qualified</t>
        </is>
      </c>
      <c r="AB36" s="27" t="inlineStr"/>
      <c r="AC36" s="32" t="inlineStr">
        <is>
          <t>Passed</t>
        </is>
      </c>
      <c r="AD36" s="32" t="inlineStr">
        <is>
          <t>Passed</t>
        </is>
      </c>
    </row>
    <row r="37">
      <c r="A37" s="25" t="inlineStr">
        <is>
          <t>LEAD-0033</t>
        </is>
      </c>
      <c r="B37" s="26" t="inlineStr">
        <is>
          <t>Brent Daniels - Wholesaling Inc</t>
        </is>
      </c>
      <c r="C37" s="26" t="inlineStr">
        <is>
          <t>Finance</t>
        </is>
      </c>
      <c r="D37" s="26" t="inlineStr">
        <is>
          <t>US</t>
        </is>
      </c>
      <c r="E37" s="26" t="inlineStr">
        <is>
          <t>EN</t>
        </is>
      </c>
      <c r="F37" s="26" t="inlineStr">
        <is>
          <t>YouTube</t>
        </is>
      </c>
      <c r="G37" s="26" t="inlineStr">
        <is>
          <t>https://www.youtube.com/channel/UC-6z7xoEAfF885Up9axEKKw</t>
        </is>
      </c>
      <c r="H37" s="26" t="inlineStr">
        <is>
          <t>UC-6z7xoEAfF885Up9axEKKw</t>
        </is>
      </c>
      <c r="I37" s="26" t="inlineStr">
        <is>
          <t>https://www.tiktok.com/@realbrentdaniels</t>
        </is>
      </c>
      <c r="J37" s="37" t="n">
        <v>89400</v>
      </c>
      <c r="K37" s="34" t="inlineStr">
        <is>
          <t>2026-09-03</t>
        </is>
      </c>
      <c r="L37" s="26" t="inlineStr">
        <is>
          <t>https://www.youtube.com/channel/UC-6z7xoEAfF885Up9axEKKw</t>
        </is>
      </c>
      <c r="M37" s="37" t="n">
        <v>19</v>
      </c>
      <c r="N37" s="37" t="n">
        <v>38</v>
      </c>
      <c r="O37" s="26" t="inlineStr">
        <is>
          <t>Keywords: collab</t>
        </is>
      </c>
      <c r="P37" s="26" t="inlineStr">
        <is>
          <t>https://www.youtube.com/channel/UC-6z7xoEAfF885Up9axEKKw</t>
        </is>
      </c>
      <c r="Q37" s="26" t="inlineStr">
        <is>
          <t>Signals: high_upload_frequency</t>
        </is>
      </c>
      <c r="R37" s="26" t="inlineStr">
        <is>
          <t>https://www.youtube.com/channel/UC-6z7xoEAfF885Up9axEKKw</t>
        </is>
      </c>
      <c r="S37" s="26" t="inlineStr">
        <is>
          <t>website</t>
        </is>
      </c>
      <c r="T37" s="26" t="inlineStr">
        <is>
          <t>nan</t>
        </is>
      </c>
      <c r="U37" s="26" t="inlineStr">
        <is>
          <t>https://www.tiktok.com/@realbrentdaniels</t>
        </is>
      </c>
      <c r="V37" s="26" t="inlineStr">
        <is>
          <t>https://www.youtube.com/channel/UC-6z7xoEAfF885Up9axEKKw</t>
        </is>
      </c>
      <c r="W37" s="26" t="inlineStr">
        <is>
          <t>https://www.youtube.com/channel/UC-6z7xoEAfF885Up9axEKKw</t>
        </is>
      </c>
      <c r="X37" s="34" t="inlineStr">
        <is>
          <t>2026-09-04</t>
        </is>
      </c>
      <c r="Y37" s="26" t="inlineStr">
        <is>
          <t>A</t>
        </is>
      </c>
      <c r="Z37" s="26" t="inlineStr">
        <is>
          <t>nan</t>
        </is>
      </c>
      <c r="AA37" s="26" t="inlineStr">
        <is>
          <t>Qualified</t>
        </is>
      </c>
      <c r="AB37" s="27" t="inlineStr"/>
      <c r="AC37" s="32" t="inlineStr">
        <is>
          <t>Passed</t>
        </is>
      </c>
      <c r="AD37" s="32" t="inlineStr">
        <is>
          <t>Passed</t>
        </is>
      </c>
    </row>
    <row r="38">
      <c r="A38" s="25" t="inlineStr">
        <is>
          <t>LEAD-0034</t>
        </is>
      </c>
      <c r="B38" s="26" t="inlineStr">
        <is>
          <t>All-In Podcast</t>
        </is>
      </c>
      <c r="C38" s="26" t="inlineStr">
        <is>
          <t>Tech</t>
        </is>
      </c>
      <c r="D38" s="26" t="inlineStr">
        <is>
          <t>US</t>
        </is>
      </c>
      <c r="E38" s="26" t="inlineStr">
        <is>
          <t>EN</t>
        </is>
      </c>
      <c r="F38" s="26" t="inlineStr">
        <is>
          <t>YouTube</t>
        </is>
      </c>
      <c r="G38" s="26" t="inlineStr">
        <is>
          <t>https://www.youtube.com/channel/UCESLZhusAkFfsNsApnjF_Cg</t>
        </is>
      </c>
      <c r="H38" s="26" t="inlineStr">
        <is>
          <t>UCESLZhusAkFfsNsApnjF_Cg</t>
        </is>
      </c>
      <c r="I38" s="26" t="inlineStr">
        <is>
          <t>https://x.com/chamath</t>
        </is>
      </c>
      <c r="J38" s="37" t="n">
        <v>1120000</v>
      </c>
      <c r="K38" s="34" t="inlineStr">
        <is>
          <t>2026-09-01</t>
        </is>
      </c>
      <c r="L38" s="26" t="inlineStr">
        <is>
          <t>https://www.youtube.com/channel/UCESLZhusAkFfsNsApnjF_Cg</t>
        </is>
      </c>
      <c r="M38" s="37" t="n">
        <v>34</v>
      </c>
      <c r="N38" s="37" t="n">
        <v>68</v>
      </c>
      <c r="O38" s="26" t="inlineStr">
        <is>
          <t>Established channel: 1,120,000 subscribers, 969 videos published</t>
        </is>
      </c>
      <c r="P38" s="26" t="inlineStr">
        <is>
          <t>https://www.youtube.com/channel/UCESLZhusAkFfsNsApnjF_Cg</t>
        </is>
      </c>
      <c r="Q38" s="26" t="inlineStr">
        <is>
          <t>Signals: high_upload_frequency</t>
        </is>
      </c>
      <c r="R38" s="26" t="inlineStr">
        <is>
          <t>https://www.youtube.com/channel/UCESLZhusAkFfsNsApnjF_Cg</t>
        </is>
      </c>
      <c r="S38" s="26" t="inlineStr">
        <is>
          <t>website</t>
        </is>
      </c>
      <c r="T38" s="26" t="inlineStr">
        <is>
          <t>nan</t>
        </is>
      </c>
      <c r="U38" s="26" t="inlineStr">
        <is>
          <t>https://x.com/chamath</t>
        </is>
      </c>
      <c r="V38" s="26" t="inlineStr">
        <is>
          <t>https://www.youtube.com/channel/UCESLZhusAkFfsNsApnjF_Cg</t>
        </is>
      </c>
      <c r="W38" s="26" t="inlineStr">
        <is>
          <t>https://www.youtube.com/channel/UCESLZhusAkFfsNsApnjF_Cg</t>
        </is>
      </c>
      <c r="X38" s="34" t="inlineStr">
        <is>
          <t>2026-09-04</t>
        </is>
      </c>
      <c r="Y38" s="26" t="inlineStr">
        <is>
          <t>B</t>
        </is>
      </c>
      <c r="Z38" s="26" t="inlineStr">
        <is>
          <t>nan</t>
        </is>
      </c>
      <c r="AA38" s="26" t="inlineStr">
        <is>
          <t>Qualified</t>
        </is>
      </c>
      <c r="AB38" s="27" t="inlineStr"/>
      <c r="AC38" s="32" t="inlineStr">
        <is>
          <t>Passed</t>
        </is>
      </c>
      <c r="AD38" s="32" t="inlineStr">
        <is>
          <t>Passed</t>
        </is>
      </c>
    </row>
    <row r="39">
      <c r="A39" s="25" t="inlineStr">
        <is>
          <t>LEAD-0035</t>
        </is>
      </c>
      <c r="B39" s="26" t="inlineStr">
        <is>
          <t>Unsubscribe Podcast</t>
        </is>
      </c>
      <c r="C39" s="26" t="inlineStr">
        <is>
          <t>Tech</t>
        </is>
      </c>
      <c r="D39" s="26" t="inlineStr">
        <is>
          <t>US</t>
        </is>
      </c>
      <c r="E39" s="26" t="inlineStr">
        <is>
          <t>EN</t>
        </is>
      </c>
      <c r="F39" s="26" t="inlineStr">
        <is>
          <t>YouTube</t>
        </is>
      </c>
      <c r="G39" s="26" t="inlineStr">
        <is>
          <t>https://www.youtube.com/channel/UCEk2RXhmy1ocxgGK-zNU-sQ</t>
        </is>
      </c>
      <c r="H39" s="26" t="inlineStr">
        <is>
          <t>UCEk2RXhmy1ocxgGK-zNU-sQ</t>
        </is>
      </c>
      <c r="I39" s="26" t="inlineStr">
        <is>
          <t>https://www.youtube.com/channel/UCEk2RXhmy1ocxgGK-zNU-sQ</t>
        </is>
      </c>
      <c r="J39" s="37" t="n">
        <v>1000000</v>
      </c>
      <c r="K39" s="34" t="inlineStr">
        <is>
          <t>2026-08-31</t>
        </is>
      </c>
      <c r="L39" s="26" t="inlineStr">
        <is>
          <t>https://www.youtube.com/channel/UCEk2RXhmy1ocxgGK-zNU-sQ</t>
        </is>
      </c>
      <c r="M39" s="37" t="n">
        <v>16</v>
      </c>
      <c r="N39" s="37" t="n">
        <v>32</v>
      </c>
      <c r="O39" s="26" t="inlineStr">
        <is>
          <t>Keywords: sponsor, shop now, merch, patreon, free trial, #ad</t>
        </is>
      </c>
      <c r="P39" s="26" t="inlineStr">
        <is>
          <t>https://www.youtube.com/channel/UCEk2RXhmy1ocxgGK-zNU-sQ</t>
        </is>
      </c>
      <c r="Q39" s="26" t="inlineStr">
        <is>
          <t>Signals: high_upload_frequency</t>
        </is>
      </c>
      <c r="R39" s="26" t="inlineStr">
        <is>
          <t>https://www.youtube.com/channel/UCEk2RXhmy1ocxgGK-zNU-sQ</t>
        </is>
      </c>
      <c r="S39" s="26" t="inlineStr">
        <is>
          <t>email</t>
        </is>
      </c>
      <c r="T39" s="26" t="inlineStr">
        <is>
          <t>unsubscribecast@gmail.com</t>
        </is>
      </c>
      <c r="U39" s="26" t="inlineStr">
        <is>
          <t>https://www.youtube.com/channel/UCEk2RXhmy1ocxgGK-zNU-sQ</t>
        </is>
      </c>
      <c r="V39" s="26" t="inlineStr">
        <is>
          <t>https://www.youtube.com/channel/UCEk2RXhmy1ocxgGK-zNU-sQ</t>
        </is>
      </c>
      <c r="W39" s="26" t="inlineStr">
        <is>
          <t>https://www.youtube.com/channel/UCEk2RXhmy1ocxgGK-zNU-sQ</t>
        </is>
      </c>
      <c r="X39" s="34" t="inlineStr">
        <is>
          <t>2026-09-04</t>
        </is>
      </c>
      <c r="Y39" s="26" t="inlineStr">
        <is>
          <t>A</t>
        </is>
      </c>
      <c r="Z39" s="26" t="inlineStr">
        <is>
          <t>nan</t>
        </is>
      </c>
      <c r="AA39" s="26" t="inlineStr">
        <is>
          <t>Qualified</t>
        </is>
      </c>
      <c r="AB39" s="27" t="inlineStr"/>
      <c r="AC39" s="32" t="inlineStr">
        <is>
          <t>Passed</t>
        </is>
      </c>
      <c r="AD39" s="32" t="inlineStr">
        <is>
          <t>Passed</t>
        </is>
      </c>
    </row>
    <row r="40">
      <c r="A40" s="25" t="inlineStr">
        <is>
          <t>LEAD-0036</t>
        </is>
      </c>
      <c r="B40" s="26" t="inlineStr">
        <is>
          <t>Dion Talk Financial Freedom</t>
        </is>
      </c>
      <c r="C40" s="26" t="inlineStr">
        <is>
          <t>Finance</t>
        </is>
      </c>
      <c r="D40" s="26" t="inlineStr">
        <is>
          <t>US</t>
        </is>
      </c>
      <c r="E40" s="26" t="inlineStr">
        <is>
          <t>EN</t>
        </is>
      </c>
      <c r="F40" s="26" t="inlineStr">
        <is>
          <t>YouTube</t>
        </is>
      </c>
      <c r="G40" s="26" t="inlineStr">
        <is>
          <t>https://www.youtube.com/channel/UCjXCAh2R1gwE1WlmNRUNpIg</t>
        </is>
      </c>
      <c r="H40" s="26" t="inlineStr">
        <is>
          <t>UCjXCAh2R1gwE1WlmNRUNpIg</t>
        </is>
      </c>
      <c r="I40" s="26" t="inlineStr">
        <is>
          <t>https://youtu.be/0JmRzGkWaqI</t>
        </is>
      </c>
      <c r="J40" s="37" t="n">
        <v>26600</v>
      </c>
      <c r="K40" s="34" t="inlineStr">
        <is>
          <t>2026-09-03</t>
        </is>
      </c>
      <c r="L40" s="26" t="inlineStr">
        <is>
          <t>https://www.youtube.com/channel/UCjXCAh2R1gwE1WlmNRUNpIg</t>
        </is>
      </c>
      <c r="M40" s="37" t="n">
        <v>15</v>
      </c>
      <c r="N40" s="37" t="n">
        <v>30</v>
      </c>
      <c r="O40" s="26" t="inlineStr">
        <is>
          <t>Keywords: affiliate, discount code, amazon associate</t>
        </is>
      </c>
      <c r="P40" s="26" t="inlineStr">
        <is>
          <t>https://www.youtube.com/channel/UCjXCAh2R1gwE1WlmNRUNpIg</t>
        </is>
      </c>
      <c r="Q40" s="26" t="inlineStr">
        <is>
          <t>Signals: high_upload_frequency</t>
        </is>
      </c>
      <c r="R40" s="26" t="inlineStr">
        <is>
          <t>https://www.youtube.com/channel/UCjXCAh2R1gwE1WlmNRUNpIg</t>
        </is>
      </c>
      <c r="S40" s="26" t="inlineStr">
        <is>
          <t>website</t>
        </is>
      </c>
      <c r="T40" s="26" t="inlineStr">
        <is>
          <t>nan</t>
        </is>
      </c>
      <c r="U40" s="26" t="inlineStr">
        <is>
          <t>https://youtu.be/0JmRzGkWaqI</t>
        </is>
      </c>
      <c r="V40" s="26" t="inlineStr">
        <is>
          <t>https://www.youtube.com/channel/UCjXCAh2R1gwE1WlmNRUNpIg</t>
        </is>
      </c>
      <c r="W40" s="26" t="inlineStr">
        <is>
          <t>https://www.youtube.com/channel/UCjXCAh2R1gwE1WlmNRUNpIg</t>
        </is>
      </c>
      <c r="X40" s="34" t="inlineStr">
        <is>
          <t>2026-09-04</t>
        </is>
      </c>
      <c r="Y40" s="26" t="inlineStr">
        <is>
          <t>A</t>
        </is>
      </c>
      <c r="Z40" s="26" t="inlineStr">
        <is>
          <t>nan</t>
        </is>
      </c>
      <c r="AA40" s="26" t="inlineStr">
        <is>
          <t>Qualified</t>
        </is>
      </c>
      <c r="AB40" s="27" t="inlineStr"/>
      <c r="AC40" s="32" t="inlineStr">
        <is>
          <t>Passed</t>
        </is>
      </c>
      <c r="AD40" s="32" t="inlineStr">
        <is>
          <t>Passed</t>
        </is>
      </c>
    </row>
    <row r="41">
      <c r="A41" s="25" t="inlineStr">
        <is>
          <t>LEAD-0037</t>
        </is>
      </c>
      <c r="B41" s="26" t="inlineStr">
        <is>
          <t>BBC Podcast | Bigger Better Content</t>
        </is>
      </c>
      <c r="C41" s="26" t="inlineStr">
        <is>
          <t>Tech</t>
        </is>
      </c>
      <c r="D41" s="26" t="inlineStr">
        <is>
          <t>US</t>
        </is>
      </c>
      <c r="E41" s="26" t="inlineStr">
        <is>
          <t>EN</t>
        </is>
      </c>
      <c r="F41" s="26" t="inlineStr">
        <is>
          <t>YouTube</t>
        </is>
      </c>
      <c r="G41" s="26" t="inlineStr">
        <is>
          <t>https://www.youtube.com/channel/UCJ7FQUUjYdwzIAbW-ZjBwZQ</t>
        </is>
      </c>
      <c r="H41" s="26" t="inlineStr">
        <is>
          <t>UCJ7FQUUjYdwzIAbW-ZjBwZQ</t>
        </is>
      </c>
      <c r="I41" s="26" t="inlineStr">
        <is>
          <t>https://www.youtube.com/channel/UCJ7FQUUjYdwzIAbW-ZjBwZQ</t>
        </is>
      </c>
      <c r="J41" s="37" t="n">
        <v>34500</v>
      </c>
      <c r="K41" s="34" t="inlineStr">
        <is>
          <t>2026-09-04</t>
        </is>
      </c>
      <c r="L41" s="26" t="inlineStr">
        <is>
          <t>https://www.youtube.com/channel/UCJ7FQUUjYdwzIAbW-ZjBwZQ</t>
        </is>
      </c>
      <c r="M41" s="37" t="n">
        <v>150</v>
      </c>
      <c r="N41" s="37" t="n">
        <v>300</v>
      </c>
      <c r="O41" s="26" t="inlineStr">
        <is>
          <t>Keywords: merch</t>
        </is>
      </c>
      <c r="P41" s="26" t="inlineStr">
        <is>
          <t>https://www.youtube.com/channel/UCJ7FQUUjYdwzIAbW-ZjBwZQ</t>
        </is>
      </c>
      <c r="Q41" s="26" t="inlineStr">
        <is>
          <t>Signals: clips, shorts, high_upload_frequency</t>
        </is>
      </c>
      <c r="R41" s="26" t="inlineStr">
        <is>
          <t>https://www.youtube.com/channel/UCJ7FQUUjYdwzIAbW-ZjBwZQ</t>
        </is>
      </c>
      <c r="S41" s="26" t="inlineStr">
        <is>
          <t>email</t>
        </is>
      </c>
      <c r="T41" s="26" t="inlineStr">
        <is>
          <t>BBCPODKAST@gmail.com</t>
        </is>
      </c>
      <c r="U41" s="26" t="inlineStr">
        <is>
          <t>https://www.youtube.com/channel/UCJ7FQUUjYdwzIAbW-ZjBwZQ</t>
        </is>
      </c>
      <c r="V41" s="26" t="inlineStr">
        <is>
          <t>https://www.youtube.com/channel/UCJ7FQUUjYdwzIAbW-ZjBwZQ</t>
        </is>
      </c>
      <c r="W41" s="26" t="inlineStr">
        <is>
          <t>https://www.youtube.com/channel/UCJ7FQUUjYdwzIAbW-ZjBwZQ</t>
        </is>
      </c>
      <c r="X41" s="34" t="inlineStr">
        <is>
          <t>2026-09-04</t>
        </is>
      </c>
      <c r="Y41" s="26" t="inlineStr">
        <is>
          <t>A</t>
        </is>
      </c>
      <c r="Z41" s="26" t="inlineStr">
        <is>
          <t>nan</t>
        </is>
      </c>
      <c r="AA41" s="26" t="inlineStr">
        <is>
          <t>Qualified</t>
        </is>
      </c>
      <c r="AB41" s="27" t="inlineStr"/>
      <c r="AC41" s="32" t="inlineStr">
        <is>
          <t>Passed</t>
        </is>
      </c>
      <c r="AD41" s="32" t="inlineStr">
        <is>
          <t>Passed</t>
        </is>
      </c>
    </row>
    <row r="42">
      <c r="A42" s="25" t="inlineStr">
        <is>
          <t>LEAD-0038</t>
        </is>
      </c>
      <c r="B42" s="26" t="inlineStr">
        <is>
          <t>Winifred Kal</t>
        </is>
      </c>
      <c r="C42" s="26" t="inlineStr">
        <is>
          <t>Lifestyle</t>
        </is>
      </c>
      <c r="D42" s="26" t="inlineStr">
        <is>
          <t>CA</t>
        </is>
      </c>
      <c r="E42" s="26" t="inlineStr">
        <is>
          <t>EN</t>
        </is>
      </c>
      <c r="F42" s="26" t="inlineStr">
        <is>
          <t>YouTube</t>
        </is>
      </c>
      <c r="G42" s="26" t="inlineStr">
        <is>
          <t>https://www.youtube.com/channel/UCAs_ngxdAOf3Xv1z9DAuXsA</t>
        </is>
      </c>
      <c r="H42" s="26" t="inlineStr">
        <is>
          <t>UCAs_ngxdAOf3Xv1z9DAuXsA</t>
        </is>
      </c>
      <c r="I42" s="26" t="inlineStr">
        <is>
          <t>https://www.youtube.com/channel/UCAs_ngxdAOf3Xv1z9DAuXsA</t>
        </is>
      </c>
      <c r="J42" s="37" t="n">
        <v>24300</v>
      </c>
      <c r="K42" s="34" t="inlineStr">
        <is>
          <t>2026-08-31</t>
        </is>
      </c>
      <c r="L42" s="26" t="inlineStr">
        <is>
          <t>https://www.youtube.com/channel/UCAs_ngxdAOf3Xv1z9DAuXsA</t>
        </is>
      </c>
      <c r="M42" s="37" t="n">
        <v>12</v>
      </c>
      <c r="N42" s="37" t="n">
        <v>24</v>
      </c>
      <c r="O42" s="26" t="inlineStr">
        <is>
          <t>Keywords: affiliate, discount code, collab</t>
        </is>
      </c>
      <c r="P42" s="26" t="inlineStr">
        <is>
          <t>https://www.youtube.com/channel/UCAs_ngxdAOf3Xv1z9DAuXsA</t>
        </is>
      </c>
      <c r="Q42" s="26" t="inlineStr">
        <is>
          <t>Signals: shorts, high_upload_frequency</t>
        </is>
      </c>
      <c r="R42" s="26" t="inlineStr">
        <is>
          <t>https://www.youtube.com/channel/UCAs_ngxdAOf3Xv1z9DAuXsA</t>
        </is>
      </c>
      <c r="S42" s="26" t="inlineStr">
        <is>
          <t>email</t>
        </is>
      </c>
      <c r="T42" s="26" t="inlineStr">
        <is>
          <t>winifredkal@gmail.com</t>
        </is>
      </c>
      <c r="U42" s="26" t="inlineStr">
        <is>
          <t>https://www.youtube.com/channel/UCAs_ngxdAOf3Xv1z9DAuXsA</t>
        </is>
      </c>
      <c r="V42" s="26" t="inlineStr">
        <is>
          <t>https://www.youtube.com/channel/UCAs_ngxdAOf3Xv1z9DAuXsA</t>
        </is>
      </c>
      <c r="W42" s="26" t="inlineStr">
        <is>
          <t>https://www.youtube.com/channel/UCAs_ngxdAOf3Xv1z9DAuXsA</t>
        </is>
      </c>
      <c r="X42" s="34" t="inlineStr">
        <is>
          <t>2026-09-04</t>
        </is>
      </c>
      <c r="Y42" s="26" t="inlineStr">
        <is>
          <t>B</t>
        </is>
      </c>
      <c r="Z42" s="26" t="inlineStr">
        <is>
          <t>nan</t>
        </is>
      </c>
      <c r="AA42" s="26" t="inlineStr">
        <is>
          <t>Qualified</t>
        </is>
      </c>
      <c r="AB42" s="27" t="inlineStr"/>
      <c r="AC42" s="32" t="inlineStr">
        <is>
          <t>Passed</t>
        </is>
      </c>
      <c r="AD42" s="32" t="inlineStr">
        <is>
          <t>Passed</t>
        </is>
      </c>
    </row>
    <row r="43">
      <c r="A43" s="25" t="inlineStr">
        <is>
          <t>LEAD-0039</t>
        </is>
      </c>
      <c r="B43" s="26" t="inlineStr">
        <is>
          <t>THE TAROT LIFE COACH</t>
        </is>
      </c>
      <c r="C43" s="26" t="inlineStr">
        <is>
          <t>Lifestyle</t>
        </is>
      </c>
      <c r="D43" s="26" t="inlineStr">
        <is>
          <t>US</t>
        </is>
      </c>
      <c r="E43" s="26" t="inlineStr">
        <is>
          <t>EN</t>
        </is>
      </c>
      <c r="F43" s="26" t="inlineStr">
        <is>
          <t>YouTube</t>
        </is>
      </c>
      <c r="G43" s="26" t="inlineStr">
        <is>
          <t>https://www.youtube.com/channel/UC4LpaVdTRT_S15X_rXmcEOA</t>
        </is>
      </c>
      <c r="H43" s="26" t="inlineStr">
        <is>
          <t>UC4LpaVdTRT_S15X_rXmcEOA</t>
        </is>
      </c>
      <c r="I43" s="26" t="inlineStr">
        <is>
          <t>https://www.youtube.com/channel/UC4LpaVdTRT_S15X_rXmcEOA</t>
        </is>
      </c>
      <c r="J43" s="37" t="n">
        <v>402000</v>
      </c>
      <c r="K43" s="34" t="inlineStr">
        <is>
          <t>2026-09-04</t>
        </is>
      </c>
      <c r="L43" s="26" t="inlineStr">
        <is>
          <t>https://www.youtube.com/channel/UC4LpaVdTRT_S15X_rXmcEOA</t>
        </is>
      </c>
      <c r="M43" s="37" t="n">
        <v>1500</v>
      </c>
      <c r="N43" s="37" t="n">
        <v>3000</v>
      </c>
      <c r="O43" s="26" t="inlineStr">
        <is>
          <t>Established channel: 402,000 subscribers, 84906 videos published</t>
        </is>
      </c>
      <c r="P43" s="26" t="inlineStr">
        <is>
          <t>https://www.youtube.com/channel/UC4LpaVdTRT_S15X_rXmcEOA</t>
        </is>
      </c>
      <c r="Q43" s="26" t="inlineStr">
        <is>
          <t>Signals: shorts, high_upload_frequency</t>
        </is>
      </c>
      <c r="R43" s="26" t="inlineStr">
        <is>
          <t>https://www.youtube.com/channel/UC4LpaVdTRT_S15X_rXmcEOA</t>
        </is>
      </c>
      <c r="S43" s="26" t="inlineStr">
        <is>
          <t>email</t>
        </is>
      </c>
      <c r="T43" s="26" t="inlineStr">
        <is>
          <t>thetarotlifecoach38@gmail.com</t>
        </is>
      </c>
      <c r="U43" s="26" t="inlineStr">
        <is>
          <t>https://www.youtube.com/channel/UC4LpaVdTRT_S15X_rXmcEOA</t>
        </is>
      </c>
      <c r="V43" s="26" t="inlineStr">
        <is>
          <t>https://www.youtube.com/channel/UC4LpaVdTRT_S15X_rXmcEOA</t>
        </is>
      </c>
      <c r="W43" s="26" t="inlineStr">
        <is>
          <t>https://www.youtube.com/channel/UC4LpaVdTRT_S15X_rXmcEOA</t>
        </is>
      </c>
      <c r="X43" s="34" t="inlineStr">
        <is>
          <t>2026-09-04</t>
        </is>
      </c>
      <c r="Y43" s="26" t="inlineStr">
        <is>
          <t>B</t>
        </is>
      </c>
      <c r="Z43" s="26" t="inlineStr">
        <is>
          <t>nan</t>
        </is>
      </c>
      <c r="AA43" s="26" t="inlineStr">
        <is>
          <t>Qualified</t>
        </is>
      </c>
      <c r="AB43" s="27" t="inlineStr"/>
      <c r="AC43" s="32" t="inlineStr">
        <is>
          <t>Passed</t>
        </is>
      </c>
      <c r="AD43" s="32" t="inlineStr">
        <is>
          <t>Passed</t>
        </is>
      </c>
    </row>
    <row r="44">
      <c r="A44" s="25" t="inlineStr">
        <is>
          <t>LEAD-0040</t>
        </is>
      </c>
      <c r="B44" s="26" t="inlineStr">
        <is>
          <t>Personal Finance with Leila - Debt Over It</t>
        </is>
      </c>
      <c r="C44" s="26" t="inlineStr">
        <is>
          <t>Lifestyle</t>
        </is>
      </c>
      <c r="D44" s="26" t="inlineStr">
        <is>
          <t>US</t>
        </is>
      </c>
      <c r="E44" s="26" t="inlineStr">
        <is>
          <t>EN</t>
        </is>
      </c>
      <c r="F44" s="26" t="inlineStr">
        <is>
          <t>YouTube</t>
        </is>
      </c>
      <c r="G44" s="26" t="inlineStr">
        <is>
          <t>https://www.youtube.com/channel/UCMw07uiVxGULqePlrOZnx9A</t>
        </is>
      </c>
      <c r="H44" s="26" t="inlineStr">
        <is>
          <t>UCMw07uiVxGULqePlrOZnx9A</t>
        </is>
      </c>
      <c r="I44" s="26" t="inlineStr">
        <is>
          <t>https://debtoverit.com/coaching/</t>
        </is>
      </c>
      <c r="J44" s="37" t="n">
        <v>66100</v>
      </c>
      <c r="K44" s="34" t="inlineStr">
        <is>
          <t>2026-09-03</t>
        </is>
      </c>
      <c r="L44" s="26" t="inlineStr">
        <is>
          <t>https://www.youtube.com/channel/UCMw07uiVxGULqePlrOZnx9A</t>
        </is>
      </c>
      <c r="M44" s="37" t="n">
        <v>14</v>
      </c>
      <c r="N44" s="37" t="n">
        <v>28</v>
      </c>
      <c r="O44" s="26" t="inlineStr">
        <is>
          <t>Keywords: sponsored by, sponsor, affiliate, teachable</t>
        </is>
      </c>
      <c r="P44" s="26" t="inlineStr">
        <is>
          <t>https://www.youtube.com/channel/UCMw07uiVxGULqePlrOZnx9A</t>
        </is>
      </c>
      <c r="Q44" s="26" t="inlineStr">
        <is>
          <t>Signals: high_upload_frequency</t>
        </is>
      </c>
      <c r="R44" s="26" t="inlineStr">
        <is>
          <t>https://www.youtube.com/channel/UCMw07uiVxGULqePlrOZnx9A</t>
        </is>
      </c>
      <c r="S44" s="26" t="inlineStr">
        <is>
          <t>website</t>
        </is>
      </c>
      <c r="T44" s="26" t="inlineStr">
        <is>
          <t>nan</t>
        </is>
      </c>
      <c r="U44" s="26" t="inlineStr">
        <is>
          <t>https://debtoverit.com/coaching/</t>
        </is>
      </c>
      <c r="V44" s="26" t="inlineStr">
        <is>
          <t>https://www.youtube.com/channel/UCMw07uiVxGULqePlrOZnx9A</t>
        </is>
      </c>
      <c r="W44" s="26" t="inlineStr">
        <is>
          <t>https://www.youtube.com/channel/UCMw07uiVxGULqePlrOZnx9A</t>
        </is>
      </c>
      <c r="X44" s="34" t="inlineStr">
        <is>
          <t>2026-09-04</t>
        </is>
      </c>
      <c r="Y44" s="26" t="inlineStr">
        <is>
          <t>B</t>
        </is>
      </c>
      <c r="Z44" s="26" t="inlineStr">
        <is>
          <t>nan</t>
        </is>
      </c>
      <c r="AA44" s="26" t="inlineStr">
        <is>
          <t>Qualified</t>
        </is>
      </c>
      <c r="AB44" s="27" t="inlineStr"/>
      <c r="AC44" s="32" t="inlineStr">
        <is>
          <t>Passed</t>
        </is>
      </c>
      <c r="AD44" s="32" t="inlineStr">
        <is>
          <t>Passed</t>
        </is>
      </c>
    </row>
    <row r="45">
      <c r="A45" s="25" t="inlineStr">
        <is>
          <t>LEAD-0041</t>
        </is>
      </c>
      <c r="B45" s="26" t="inlineStr">
        <is>
          <t xml:space="preserve">eCommmerce with Ali Raza🇬🇧 </t>
        </is>
      </c>
      <c r="C45" s="26" t="inlineStr">
        <is>
          <t>Business</t>
        </is>
      </c>
      <c r="D45" s="26" t="inlineStr">
        <is>
          <t>GB</t>
        </is>
      </c>
      <c r="E45" s="26" t="inlineStr">
        <is>
          <t>EN</t>
        </is>
      </c>
      <c r="F45" s="26" t="inlineStr">
        <is>
          <t>YouTube</t>
        </is>
      </c>
      <c r="G45" s="26" t="inlineStr">
        <is>
          <t>https://www.youtube.com/channel/UCm4H-_3W5CxEKJk8bx4Wqqg</t>
        </is>
      </c>
      <c r="H45" s="26" t="inlineStr">
        <is>
          <t>UCm4H-_3W5CxEKJk8bx4Wqqg</t>
        </is>
      </c>
      <c r="I45" s="26" t="inlineStr">
        <is>
          <t>https://www.instagram.com/dr.alirazareal/</t>
        </is>
      </c>
      <c r="J45" s="37" t="n">
        <v>11300</v>
      </c>
      <c r="K45" s="34" t="inlineStr">
        <is>
          <t>2026-09-01</t>
        </is>
      </c>
      <c r="L45" s="26" t="inlineStr">
        <is>
          <t>https://www.youtube.com/channel/UCm4H-_3W5CxEKJk8bx4Wqqg</t>
        </is>
      </c>
      <c r="M45" s="37" t="n">
        <v>22</v>
      </c>
      <c r="N45" s="37" t="n">
        <v>44</v>
      </c>
      <c r="O45" s="26" t="inlineStr">
        <is>
          <t>Established channel: 11,300 subscribers, 895 videos published</t>
        </is>
      </c>
      <c r="P45" s="26" t="inlineStr">
        <is>
          <t>https://www.youtube.com/channel/UCm4H-_3W5CxEKJk8bx4Wqqg</t>
        </is>
      </c>
      <c r="Q45" s="26" t="inlineStr">
        <is>
          <t>Signals: automate, high_upload_frequency, relevant_topic_category</t>
        </is>
      </c>
      <c r="R45" s="26" t="inlineStr">
        <is>
          <t>https://www.youtube.com/channel/UCm4H-_3W5CxEKJk8bx4Wqqg</t>
        </is>
      </c>
      <c r="S45" s="26" t="inlineStr">
        <is>
          <t>website</t>
        </is>
      </c>
      <c r="T45" s="26" t="inlineStr">
        <is>
          <t>nan</t>
        </is>
      </c>
      <c r="U45" s="26" t="inlineStr">
        <is>
          <t>https://www.instagram.com/dr.alirazareal/</t>
        </is>
      </c>
      <c r="V45" s="26" t="inlineStr">
        <is>
          <t>https://www.youtube.com/channel/UCm4H-_3W5CxEKJk8bx4Wqqg</t>
        </is>
      </c>
      <c r="W45" s="26" t="inlineStr">
        <is>
          <t>https://www.youtube.com/channel/UCm4H-_3W5CxEKJk8bx4Wqqg</t>
        </is>
      </c>
      <c r="X45" s="34" t="inlineStr">
        <is>
          <t>2026-09-04</t>
        </is>
      </c>
      <c r="Y45" s="26" t="inlineStr">
        <is>
          <t>B</t>
        </is>
      </c>
      <c r="Z45" s="26" t="inlineStr">
        <is>
          <t>nan</t>
        </is>
      </c>
      <c r="AA45" s="26" t="inlineStr">
        <is>
          <t>Qualified</t>
        </is>
      </c>
      <c r="AB45" s="27" t="inlineStr"/>
      <c r="AC45" s="32" t="inlineStr">
        <is>
          <t>Passed</t>
        </is>
      </c>
      <c r="AD45" s="32" t="inlineStr">
        <is>
          <t>Passed</t>
        </is>
      </c>
    </row>
    <row r="46">
      <c r="A46" s="25" t="inlineStr">
        <is>
          <t>LEAD-0042</t>
        </is>
      </c>
      <c r="B46" s="26" t="inlineStr">
        <is>
          <t>The Content Creator Shaun Button</t>
        </is>
      </c>
      <c r="C46" s="26" t="inlineStr">
        <is>
          <t>Lifestyle</t>
        </is>
      </c>
      <c r="D46" s="26" t="inlineStr">
        <is>
          <t>GB</t>
        </is>
      </c>
      <c r="E46" s="26" t="inlineStr">
        <is>
          <t>EN</t>
        </is>
      </c>
      <c r="F46" s="26" t="inlineStr">
        <is>
          <t>YouTube</t>
        </is>
      </c>
      <c r="G46" s="26" t="inlineStr">
        <is>
          <t>https://www.youtube.com/channel/UC4VR3xy2sjPZMY8FSAjKqKA</t>
        </is>
      </c>
      <c r="H46" s="26" t="inlineStr">
        <is>
          <t>UC4VR3xy2sjPZMY8FSAjKqKA</t>
        </is>
      </c>
      <c r="I46" s="26" t="inlineStr">
        <is>
          <t>https://www.youtube.com/channel/UC4VR3xy2sjPZMY8FSAjKqKA</t>
        </is>
      </c>
      <c r="J46" s="37" t="n">
        <v>2730</v>
      </c>
      <c r="K46" s="34" t="inlineStr">
        <is>
          <t>2026-08-23</t>
        </is>
      </c>
      <c r="L46" s="26" t="inlineStr">
        <is>
          <t>https://www.youtube.com/channel/UC4VR3xy2sjPZMY8FSAjKqKA</t>
        </is>
      </c>
      <c r="M46" s="37" t="n">
        <v>31</v>
      </c>
      <c r="N46" s="37" t="n">
        <v>62</v>
      </c>
      <c r="O46" s="26" t="inlineStr">
        <is>
          <t>Keywords: collab</t>
        </is>
      </c>
      <c r="P46" s="26" t="inlineStr">
        <is>
          <t>https://www.youtube.com/channel/UC4VR3xy2sjPZMY8FSAjKqKA</t>
        </is>
      </c>
      <c r="Q46" s="26" t="inlineStr">
        <is>
          <t>Signals: high_upload_frequency</t>
        </is>
      </c>
      <c r="R46" s="26" t="inlineStr">
        <is>
          <t>https://www.youtube.com/channel/UC4VR3xy2sjPZMY8FSAjKqKA</t>
        </is>
      </c>
      <c r="S46" s="26" t="inlineStr">
        <is>
          <t>email</t>
        </is>
      </c>
      <c r="T46" s="26" t="inlineStr">
        <is>
          <t>hellodronevision@gmail.com</t>
        </is>
      </c>
      <c r="U46" s="26" t="inlineStr">
        <is>
          <t>https://www.youtube.com/channel/UC4VR3xy2sjPZMY8FSAjKqKA</t>
        </is>
      </c>
      <c r="V46" s="26" t="inlineStr">
        <is>
          <t>https://www.youtube.com/channel/UC4VR3xy2sjPZMY8FSAjKqKA</t>
        </is>
      </c>
      <c r="W46" s="26" t="inlineStr">
        <is>
          <t>https://www.youtube.com/channel/UC4VR3xy2sjPZMY8FSAjKqKA</t>
        </is>
      </c>
      <c r="X46" s="34" t="inlineStr">
        <is>
          <t>2026-09-04</t>
        </is>
      </c>
      <c r="Y46" s="26" t="inlineStr">
        <is>
          <t>B</t>
        </is>
      </c>
      <c r="Z46" s="26" t="inlineStr">
        <is>
          <t>nan</t>
        </is>
      </c>
      <c r="AA46" s="26" t="inlineStr">
        <is>
          <t>Qualified</t>
        </is>
      </c>
      <c r="AB46" s="27" t="inlineStr"/>
      <c r="AC46" s="32" t="inlineStr">
        <is>
          <t>Passed</t>
        </is>
      </c>
      <c r="AD46" s="32" t="inlineStr">
        <is>
          <t>Passed</t>
        </is>
      </c>
    </row>
    <row r="47">
      <c r="A47" s="25" t="inlineStr">
        <is>
          <t>LEAD-0043</t>
        </is>
      </c>
      <c r="B47" s="26" t="inlineStr">
        <is>
          <t>Kelvin Learns Investing</t>
        </is>
      </c>
      <c r="C47" s="26" t="inlineStr">
        <is>
          <t>Lifestyle</t>
        </is>
      </c>
      <c r="D47" s="26" t="inlineStr">
        <is>
          <t>SG</t>
        </is>
      </c>
      <c r="E47" s="26" t="inlineStr">
        <is>
          <t>EN</t>
        </is>
      </c>
      <c r="F47" s="26" t="inlineStr">
        <is>
          <t>YouTube</t>
        </is>
      </c>
      <c r="G47" s="26" t="inlineStr">
        <is>
          <t>https://www.youtube.com/channel/UCJmaaSJX_PkfUmTuxWbrzLw</t>
        </is>
      </c>
      <c r="H47" s="26" t="inlineStr">
        <is>
          <t>UCJmaaSJX_PkfUmTuxWbrzLw</t>
        </is>
      </c>
      <c r="I47" s="26" t="inlineStr">
        <is>
          <t>https://www.youtube.com/channel/UCJmaaSJX_PkfUmTuxWbrzLw</t>
        </is>
      </c>
      <c r="J47" s="37" t="n">
        <v>132000</v>
      </c>
      <c r="K47" s="34" t="inlineStr">
        <is>
          <t>2026-09-03</t>
        </is>
      </c>
      <c r="L47" s="26" t="inlineStr">
        <is>
          <t>https://www.youtube.com/channel/UCJmaaSJX_PkfUmTuxWbrzLw</t>
        </is>
      </c>
      <c r="M47" s="37" t="n">
        <v>14</v>
      </c>
      <c r="N47" s="37" t="n">
        <v>28</v>
      </c>
      <c r="O47" s="26" t="inlineStr">
        <is>
          <t>Keywords: sponsored by, sponsor, affiliate</t>
        </is>
      </c>
      <c r="P47" s="26" t="inlineStr">
        <is>
          <t>https://www.youtube.com/channel/UCJmaaSJX_PkfUmTuxWbrzLw</t>
        </is>
      </c>
      <c r="Q47" s="26" t="inlineStr">
        <is>
          <t>Signals: high_upload_frequency</t>
        </is>
      </c>
      <c r="R47" s="26" t="inlineStr">
        <is>
          <t>https://www.youtube.com/channel/UCJmaaSJX_PkfUmTuxWbrzLw</t>
        </is>
      </c>
      <c r="S47" s="26" t="inlineStr">
        <is>
          <t>email</t>
        </is>
      </c>
      <c r="T47" s="26" t="inlineStr">
        <is>
          <t>kelvinlearnsinvesting@gmail.com</t>
        </is>
      </c>
      <c r="U47" s="26" t="inlineStr">
        <is>
          <t>https://www.youtube.com/channel/UCJmaaSJX_PkfUmTuxWbrzLw</t>
        </is>
      </c>
      <c r="V47" s="26" t="inlineStr">
        <is>
          <t>https://www.youtube.com/channel/UCJmaaSJX_PkfUmTuxWbrzLw</t>
        </is>
      </c>
      <c r="W47" s="26" t="inlineStr">
        <is>
          <t>https://www.youtube.com/channel/UCJmaaSJX_PkfUmTuxWbrzLw</t>
        </is>
      </c>
      <c r="X47" s="34" t="inlineStr">
        <is>
          <t>2026-09-04</t>
        </is>
      </c>
      <c r="Y47" s="26" t="inlineStr">
        <is>
          <t>B</t>
        </is>
      </c>
      <c r="Z47" s="26" t="inlineStr">
        <is>
          <t>nan</t>
        </is>
      </c>
      <c r="AA47" s="26" t="inlineStr">
        <is>
          <t>Qualified</t>
        </is>
      </c>
      <c r="AB47" s="27" t="inlineStr"/>
      <c r="AC47" s="32" t="inlineStr">
        <is>
          <t>Passed</t>
        </is>
      </c>
      <c r="AD47" s="32" t="inlineStr">
        <is>
          <t>Passed</t>
        </is>
      </c>
    </row>
    <row r="48">
      <c r="A48" s="25" t="inlineStr">
        <is>
          <t>LEAD-0044</t>
        </is>
      </c>
      <c r="B48" s="26" t="inlineStr">
        <is>
          <t>ABC Australia</t>
        </is>
      </c>
      <c r="C48" s="26" t="inlineStr">
        <is>
          <t>Lifestyle</t>
        </is>
      </c>
      <c r="D48" s="26" t="inlineStr">
        <is>
          <t>AU</t>
        </is>
      </c>
      <c r="E48" s="26" t="inlineStr">
        <is>
          <t>EN</t>
        </is>
      </c>
      <c r="F48" s="26" t="inlineStr">
        <is>
          <t>YouTube</t>
        </is>
      </c>
      <c r="G48" s="26" t="inlineStr">
        <is>
          <t>https://www.youtube.com/channel/UC5iLnYoF4Ryb63YdGD9RfWQ</t>
        </is>
      </c>
      <c r="H48" s="26" t="inlineStr">
        <is>
          <t>UC5iLnYoF4Ryb63YdGD9RfWQ</t>
        </is>
      </c>
      <c r="I48" s="26" t="inlineStr">
        <is>
          <t>https://www.abc.net.au.</t>
        </is>
      </c>
      <c r="J48" s="37" t="n">
        <v>459000</v>
      </c>
      <c r="K48" s="34" t="inlineStr">
        <is>
          <t>2026-09-04</t>
        </is>
      </c>
      <c r="L48" s="26" t="inlineStr">
        <is>
          <t>https://www.youtube.com/channel/UC5iLnYoF4Ryb63YdGD9RfWQ</t>
        </is>
      </c>
      <c r="M48" s="37" t="n">
        <v>55</v>
      </c>
      <c r="N48" s="37" t="n">
        <v>110</v>
      </c>
      <c r="O48" s="26" t="inlineStr">
        <is>
          <t>Keywords: consulting</t>
        </is>
      </c>
      <c r="P48" s="26" t="inlineStr">
        <is>
          <t>https://www.youtube.com/channel/UC5iLnYoF4Ryb63YdGD9RfWQ</t>
        </is>
      </c>
      <c r="Q48" s="26" t="inlineStr">
        <is>
          <t>Signals: shorts, high_upload_frequency</t>
        </is>
      </c>
      <c r="R48" s="26" t="inlineStr">
        <is>
          <t>https://www.youtube.com/channel/UC5iLnYoF4Ryb63YdGD9RfWQ</t>
        </is>
      </c>
      <c r="S48" s="26" t="inlineStr">
        <is>
          <t>website</t>
        </is>
      </c>
      <c r="T48" s="26" t="inlineStr">
        <is>
          <t>nan</t>
        </is>
      </c>
      <c r="U48" s="26" t="inlineStr">
        <is>
          <t>https://www.abc.net.au.</t>
        </is>
      </c>
      <c r="V48" s="26" t="inlineStr">
        <is>
          <t>https://www.youtube.com/channel/UC5iLnYoF4Ryb63YdGD9RfWQ</t>
        </is>
      </c>
      <c r="W48" s="26" t="inlineStr">
        <is>
          <t>https://www.youtube.com/channel/UC5iLnYoF4Ryb63YdGD9RfWQ</t>
        </is>
      </c>
      <c r="X48" s="34" t="inlineStr">
        <is>
          <t>2026-09-04</t>
        </is>
      </c>
      <c r="Y48" s="26" t="inlineStr">
        <is>
          <t>B</t>
        </is>
      </c>
      <c r="Z48" s="26" t="inlineStr">
        <is>
          <t>nan</t>
        </is>
      </c>
      <c r="AA48" s="26" t="inlineStr">
        <is>
          <t>Qualified</t>
        </is>
      </c>
      <c r="AB48" s="27" t="inlineStr"/>
      <c r="AC48" s="32" t="inlineStr">
        <is>
          <t>Passed</t>
        </is>
      </c>
      <c r="AD48" s="32" t="inlineStr">
        <is>
          <t>Passed</t>
        </is>
      </c>
    </row>
    <row r="49">
      <c r="A49" s="25" t="inlineStr">
        <is>
          <t>LEAD-0045</t>
        </is>
      </c>
      <c r="B49" s="26" t="inlineStr">
        <is>
          <t>Analyzing Finance with Nick</t>
        </is>
      </c>
      <c r="C49" s="26" t="inlineStr">
        <is>
          <t>Finance</t>
        </is>
      </c>
      <c r="D49" s="26" t="inlineStr">
        <is>
          <t>US</t>
        </is>
      </c>
      <c r="E49" s="26" t="inlineStr">
        <is>
          <t>EN</t>
        </is>
      </c>
      <c r="F49" s="26" t="inlineStr">
        <is>
          <t>YouTube</t>
        </is>
      </c>
      <c r="G49" s="26" t="inlineStr">
        <is>
          <t>https://www.youtube.com/channel/UC7TEgC3UwJ2wI6m40rJOAFA</t>
        </is>
      </c>
      <c r="H49" s="26" t="inlineStr">
        <is>
          <t>UC7TEgC3UwJ2wI6m40rJOAFA</t>
        </is>
      </c>
      <c r="I49" s="26" t="inlineStr">
        <is>
          <t>https://www.youtube.com/channel/UC7TEgC3UwJ2wI6m40rJOAFA</t>
        </is>
      </c>
      <c r="J49" s="37" t="n">
        <v>124000</v>
      </c>
      <c r="K49" s="34" t="inlineStr">
        <is>
          <t>2026-08-30</t>
        </is>
      </c>
      <c r="L49" s="26" t="inlineStr">
        <is>
          <t>https://www.youtube.com/channel/UC7TEgC3UwJ2wI6m40rJOAFA</t>
        </is>
      </c>
      <c r="M49" s="37" t="n">
        <v>12</v>
      </c>
      <c r="N49" s="37" t="n">
        <v>24</v>
      </c>
      <c r="O49" s="26" t="inlineStr">
        <is>
          <t>Established channel: 124,000 subscribers, 588 videos published</t>
        </is>
      </c>
      <c r="P49" s="26" t="inlineStr">
        <is>
          <t>https://www.youtube.com/channel/UC7TEgC3UwJ2wI6m40rJOAFA</t>
        </is>
      </c>
      <c r="Q49" s="26" t="inlineStr">
        <is>
          <t>Signals: shorts, high_upload_frequency</t>
        </is>
      </c>
      <c r="R49" s="26" t="inlineStr">
        <is>
          <t>https://www.youtube.com/channel/UC7TEgC3UwJ2wI6m40rJOAFA</t>
        </is>
      </c>
      <c r="S49" s="26" t="inlineStr">
        <is>
          <t>email</t>
        </is>
      </c>
      <c r="T49" s="26" t="inlineStr">
        <is>
          <t>askafundmanager@gmail.com</t>
        </is>
      </c>
      <c r="U49" s="26" t="inlineStr">
        <is>
          <t>https://www.youtube.com/channel/UC7TEgC3UwJ2wI6m40rJOAFA</t>
        </is>
      </c>
      <c r="V49" s="26" t="inlineStr">
        <is>
          <t>https://www.youtube.com/channel/UC7TEgC3UwJ2wI6m40rJOAFA</t>
        </is>
      </c>
      <c r="W49" s="26" t="inlineStr">
        <is>
          <t>https://www.youtube.com/channel/UC7TEgC3UwJ2wI6m40rJOAFA</t>
        </is>
      </c>
      <c r="X49" s="34" t="inlineStr">
        <is>
          <t>2026-09-04</t>
        </is>
      </c>
      <c r="Y49" s="26" t="inlineStr">
        <is>
          <t>B</t>
        </is>
      </c>
      <c r="Z49" s="26" t="inlineStr">
        <is>
          <t>nan</t>
        </is>
      </c>
      <c r="AA49" s="26" t="inlineStr">
        <is>
          <t>Qualified</t>
        </is>
      </c>
      <c r="AB49" s="27" t="inlineStr"/>
      <c r="AC49" s="32" t="inlineStr">
        <is>
          <t>Passed</t>
        </is>
      </c>
      <c r="AD49" s="32" t="inlineStr">
        <is>
          <t>Passed</t>
        </is>
      </c>
    </row>
    <row r="50">
      <c r="A50" s="25" t="inlineStr">
        <is>
          <t>LEAD-0046</t>
        </is>
      </c>
      <c r="B50" s="26" t="inlineStr">
        <is>
          <t>Intuit QuickBooks</t>
        </is>
      </c>
      <c r="C50" s="26" t="inlineStr">
        <is>
          <t>Business</t>
        </is>
      </c>
      <c r="D50" s="26" t="inlineStr">
        <is>
          <t>US</t>
        </is>
      </c>
      <c r="E50" s="26" t="inlineStr">
        <is>
          <t>EN</t>
        </is>
      </c>
      <c r="F50" s="26" t="inlineStr">
        <is>
          <t>YouTube</t>
        </is>
      </c>
      <c r="G50" s="26" t="inlineStr">
        <is>
          <t>https://www.youtube.com/channel/UCNCK4UGSnceO052t8S1kMxw</t>
        </is>
      </c>
      <c r="H50" s="26" t="inlineStr">
        <is>
          <t>UCNCK4UGSnceO052t8S1kMxw</t>
        </is>
      </c>
      <c r="I50" s="26" t="inlineStr">
        <is>
          <t>https://intuit.me/3bOj0M2</t>
        </is>
      </c>
      <c r="J50" s="37" t="n">
        <v>308000</v>
      </c>
      <c r="K50" s="34" t="inlineStr">
        <is>
          <t>2026-09-03</t>
        </is>
      </c>
      <c r="L50" s="26" t="inlineStr">
        <is>
          <t>https://www.youtube.com/channel/UCNCK4UGSnceO052t8S1kMxw</t>
        </is>
      </c>
      <c r="M50" s="37" t="n">
        <v>30</v>
      </c>
      <c r="N50" s="37" t="n">
        <v>60</v>
      </c>
      <c r="O50" s="26" t="inlineStr">
        <is>
          <t>Keywords: udemy</t>
        </is>
      </c>
      <c r="P50" s="26" t="inlineStr">
        <is>
          <t>https://www.youtube.com/channel/UCNCK4UGSnceO052t8S1kMxw</t>
        </is>
      </c>
      <c r="Q50" s="26" t="inlineStr">
        <is>
          <t>Signals: high_upload_frequency, relevant_topic_category</t>
        </is>
      </c>
      <c r="R50" s="26" t="inlineStr">
        <is>
          <t>https://www.youtube.com/channel/UCNCK4UGSnceO052t8S1kMxw</t>
        </is>
      </c>
      <c r="S50" s="26" t="inlineStr">
        <is>
          <t>website</t>
        </is>
      </c>
      <c r="T50" s="26" t="inlineStr">
        <is>
          <t>nan</t>
        </is>
      </c>
      <c r="U50" s="26" t="inlineStr">
        <is>
          <t>https://intuit.me/3bOj0M2</t>
        </is>
      </c>
      <c r="V50" s="26" t="inlineStr">
        <is>
          <t>https://www.youtube.com/channel/UCNCK4UGSnceO052t8S1kMxw</t>
        </is>
      </c>
      <c r="W50" s="26" t="inlineStr">
        <is>
          <t>https://www.youtube.com/channel/UCNCK4UGSnceO052t8S1kMxw</t>
        </is>
      </c>
      <c r="X50" s="34" t="inlineStr">
        <is>
          <t>2026-09-04</t>
        </is>
      </c>
      <c r="Y50" s="26" t="inlineStr">
        <is>
          <t>B</t>
        </is>
      </c>
      <c r="Z50" s="26" t="inlineStr">
        <is>
          <t>nan</t>
        </is>
      </c>
      <c r="AA50" s="26" t="inlineStr">
        <is>
          <t>Qualified</t>
        </is>
      </c>
      <c r="AB50" s="27" t="inlineStr"/>
      <c r="AC50" s="32" t="inlineStr">
        <is>
          <t>Passed</t>
        </is>
      </c>
      <c r="AD50" s="32" t="inlineStr">
        <is>
          <t>Passed</t>
        </is>
      </c>
    </row>
    <row r="51">
      <c r="A51" s="25" t="inlineStr">
        <is>
          <t>LEAD-0047</t>
        </is>
      </c>
      <c r="B51" s="26" t="inlineStr">
        <is>
          <t>Ibraishah</t>
        </is>
      </c>
      <c r="C51" s="26" t="inlineStr">
        <is>
          <t>Lifestyle</t>
        </is>
      </c>
      <c r="D51" s="26" t="inlineStr">
        <is>
          <t>GB</t>
        </is>
      </c>
      <c r="E51" s="26" t="inlineStr">
        <is>
          <t>EN</t>
        </is>
      </c>
      <c r="F51" s="26" t="inlineStr">
        <is>
          <t>YouTube</t>
        </is>
      </c>
      <c r="G51" s="26" t="inlineStr">
        <is>
          <t>https://www.youtube.com/channel/UCUQRXtrFoVFxxCewUI6asIg</t>
        </is>
      </c>
      <c r="H51" s="26" t="inlineStr">
        <is>
          <t>UCUQRXtrFoVFxxCewUI6asIg</t>
        </is>
      </c>
      <c r="I51" s="26" t="inlineStr">
        <is>
          <t>https://www.youtube.com/channel/UCUQRXtrFoVFxxCewUI6asIg</t>
        </is>
      </c>
      <c r="J51" s="37" t="n">
        <v>6920</v>
      </c>
      <c r="K51" s="34" t="inlineStr">
        <is>
          <t>2026-09-02</t>
        </is>
      </c>
      <c r="L51" s="26" t="inlineStr">
        <is>
          <t>https://www.youtube.com/channel/UCUQRXtrFoVFxxCewUI6asIg</t>
        </is>
      </c>
      <c r="M51" s="37" t="n">
        <v>6</v>
      </c>
      <c r="N51" s="37" t="n">
        <v>12</v>
      </c>
      <c r="O51" s="26" t="inlineStr">
        <is>
          <t>Keywords: affiliate, use code, #ad, collab</t>
        </is>
      </c>
      <c r="P51" s="26" t="inlineStr">
        <is>
          <t>https://www.youtube.com/channel/UCUQRXtrFoVFxxCewUI6asIg</t>
        </is>
      </c>
      <c r="Q51" s="26" t="inlineStr">
        <is>
          <t>Signals: burnout, shorts, high_upload_frequency</t>
        </is>
      </c>
      <c r="R51" s="26" t="inlineStr">
        <is>
          <t>https://www.youtube.com/channel/UCUQRXtrFoVFxxCewUI6asIg</t>
        </is>
      </c>
      <c r="S51" s="26" t="inlineStr">
        <is>
          <t>email</t>
        </is>
      </c>
      <c r="T51" s="26" t="inlineStr">
        <is>
          <t>ibraishah.ugc@gmail.com</t>
        </is>
      </c>
      <c r="U51" s="26" t="inlineStr">
        <is>
          <t>https://www.youtube.com/channel/UCUQRXtrFoVFxxCewUI6asIg</t>
        </is>
      </c>
      <c r="V51" s="26" t="inlineStr">
        <is>
          <t>https://www.youtube.com/channel/UCUQRXtrFoVFxxCewUI6asIg</t>
        </is>
      </c>
      <c r="W51" s="26" t="inlineStr">
        <is>
          <t>https://www.youtube.com/channel/UCUQRXtrFoVFxxCewUI6asIg</t>
        </is>
      </c>
      <c r="X51" s="34" t="inlineStr">
        <is>
          <t>2026-09-04</t>
        </is>
      </c>
      <c r="Y51" s="26" t="inlineStr">
        <is>
          <t>B</t>
        </is>
      </c>
      <c r="Z51" s="26" t="inlineStr">
        <is>
          <t>nan</t>
        </is>
      </c>
      <c r="AA51" s="26" t="inlineStr">
        <is>
          <t>Qualified</t>
        </is>
      </c>
      <c r="AB51" s="27" t="inlineStr"/>
      <c r="AC51" s="32" t="inlineStr">
        <is>
          <t>Passed</t>
        </is>
      </c>
      <c r="AD51" s="32" t="inlineStr">
        <is>
          <t>Passed</t>
        </is>
      </c>
    </row>
    <row r="52">
      <c r="A52" s="25" t="inlineStr">
        <is>
          <t>LEAD-0048</t>
        </is>
      </c>
      <c r="B52" s="26" t="inlineStr">
        <is>
          <t>Shark Tank Global</t>
        </is>
      </c>
      <c r="C52" s="26" t="inlineStr">
        <is>
          <t>Finance</t>
        </is>
      </c>
      <c r="D52" s="26" t="inlineStr">
        <is>
          <t>US</t>
        </is>
      </c>
      <c r="E52" s="26" t="inlineStr">
        <is>
          <t>EN</t>
        </is>
      </c>
      <c r="F52" s="26" t="inlineStr">
        <is>
          <t>YouTube</t>
        </is>
      </c>
      <c r="G52" s="26" t="inlineStr">
        <is>
          <t>https://www.youtube.com/channel/UCREgA-BmOocJ9Is_bZV6aJQ</t>
        </is>
      </c>
      <c r="H52" s="26" t="inlineStr">
        <is>
          <t>UCREgA-BmOocJ9Is_bZV6aJQ</t>
        </is>
      </c>
      <c r="I52" s="26" t="inlineStr">
        <is>
          <t>http://AAN.SonyPictures.com/SharkTankUSHulu</t>
        </is>
      </c>
      <c r="J52" s="37" t="n">
        <v>1870000</v>
      </c>
      <c r="K52" s="34" t="inlineStr">
        <is>
          <t>2026-09-03</t>
        </is>
      </c>
      <c r="L52" s="26" t="inlineStr">
        <is>
          <t>https://www.youtube.com/channel/UCREgA-BmOocJ9Is_bZV6aJQ</t>
        </is>
      </c>
      <c r="M52" s="37" t="n">
        <v>29</v>
      </c>
      <c r="N52" s="37" t="n">
        <v>58</v>
      </c>
      <c r="O52" s="26" t="inlineStr">
        <is>
          <t>Keywords: affiliate</t>
        </is>
      </c>
      <c r="P52" s="26" t="inlineStr">
        <is>
          <t>https://www.youtube.com/channel/UCREgA-BmOocJ9Is_bZV6aJQ</t>
        </is>
      </c>
      <c r="Q52" s="26" t="inlineStr">
        <is>
          <t>Signals: shorts, high_upload_frequency</t>
        </is>
      </c>
      <c r="R52" s="26" t="inlineStr">
        <is>
          <t>https://www.youtube.com/channel/UCREgA-BmOocJ9Is_bZV6aJQ</t>
        </is>
      </c>
      <c r="S52" s="26" t="inlineStr">
        <is>
          <t>website</t>
        </is>
      </c>
      <c r="T52" s="26" t="inlineStr">
        <is>
          <t>nan</t>
        </is>
      </c>
      <c r="U52" s="26" t="inlineStr">
        <is>
          <t>http://AAN.SonyPictures.com/SharkTankUSHulu</t>
        </is>
      </c>
      <c r="V52" s="26" t="inlineStr">
        <is>
          <t>https://www.youtube.com/channel/UCREgA-BmOocJ9Is_bZV6aJQ</t>
        </is>
      </c>
      <c r="W52" s="26" t="inlineStr">
        <is>
          <t>https://www.youtube.com/channel/UCREgA-BmOocJ9Is_bZV6aJQ</t>
        </is>
      </c>
      <c r="X52" s="34" t="inlineStr">
        <is>
          <t>2026-09-04</t>
        </is>
      </c>
      <c r="Y52" s="26" t="inlineStr">
        <is>
          <t>B</t>
        </is>
      </c>
      <c r="Z52" s="26" t="inlineStr">
        <is>
          <t>nan</t>
        </is>
      </c>
      <c r="AA52" s="26" t="inlineStr">
        <is>
          <t>Qualified</t>
        </is>
      </c>
      <c r="AB52" s="27" t="inlineStr"/>
      <c r="AC52" s="32" t="inlineStr">
        <is>
          <t>Passed</t>
        </is>
      </c>
      <c r="AD52" s="32" t="inlineStr">
        <is>
          <t>Passed</t>
        </is>
      </c>
    </row>
    <row r="53">
      <c r="A53" s="25" t="inlineStr">
        <is>
          <t>LEAD-0049</t>
        </is>
      </c>
      <c r="B53" s="26" t="inlineStr">
        <is>
          <t>Matt Wolfe</t>
        </is>
      </c>
      <c r="C53" s="26" t="inlineStr">
        <is>
          <t>Tech</t>
        </is>
      </c>
      <c r="D53" s="26" t="inlineStr">
        <is>
          <t>US</t>
        </is>
      </c>
      <c r="E53" s="26" t="inlineStr">
        <is>
          <t>EN</t>
        </is>
      </c>
      <c r="F53" s="26" t="inlineStr">
        <is>
          <t>YouTube</t>
        </is>
      </c>
      <c r="G53" s="26" t="inlineStr">
        <is>
          <t>https://www.youtube.com/channel/UChpleBmo18P08aKCIgti38g</t>
        </is>
      </c>
      <c r="H53" s="26" t="inlineStr">
        <is>
          <t>UChpleBmo18P08aKCIgti38g</t>
        </is>
      </c>
      <c r="I53" s="26" t="inlineStr">
        <is>
          <t>https://www.youtube.com/channel/UChpleBmo18P08aKCIgti38g</t>
        </is>
      </c>
      <c r="J53" s="37" t="n">
        <v>1000000</v>
      </c>
      <c r="K53" s="34" t="inlineStr">
        <is>
          <t>2026-09-03</t>
        </is>
      </c>
      <c r="L53" s="26" t="inlineStr">
        <is>
          <t>https://www.youtube.com/channel/UChpleBmo18P08aKCIgti38g</t>
        </is>
      </c>
      <c r="M53" s="37" t="n">
        <v>24</v>
      </c>
      <c r="N53" s="37" t="n">
        <v>48</v>
      </c>
      <c r="O53" s="26" t="inlineStr">
        <is>
          <t>Keywords: sponsor</t>
        </is>
      </c>
      <c r="P53" s="26" t="inlineStr">
        <is>
          <t>https://www.youtube.com/channel/UChpleBmo18P08aKCIgti38g</t>
        </is>
      </c>
      <c r="Q53" s="26" t="inlineStr">
        <is>
          <t>Signals: automate, newsletter, high_upload_frequency, relevant_topic_category</t>
        </is>
      </c>
      <c r="R53" s="26" t="inlineStr">
        <is>
          <t>https://www.youtube.com/channel/UChpleBmo18P08aKCIgti38g</t>
        </is>
      </c>
      <c r="S53" s="26" t="inlineStr">
        <is>
          <t>email</t>
        </is>
      </c>
      <c r="T53" s="26" t="inlineStr">
        <is>
          <t>mattwolfe@smoothmedia.co</t>
        </is>
      </c>
      <c r="U53" s="26" t="inlineStr">
        <is>
          <t>https://www.youtube.com/channel/UChpleBmo18P08aKCIgti38g</t>
        </is>
      </c>
      <c r="V53" s="26" t="inlineStr">
        <is>
          <t>https://www.youtube.com/channel/UChpleBmo18P08aKCIgti38g</t>
        </is>
      </c>
      <c r="W53" s="26" t="inlineStr">
        <is>
          <t>https://www.youtube.com/channel/UChpleBmo18P08aKCIgti38g</t>
        </is>
      </c>
      <c r="X53" s="34" t="inlineStr">
        <is>
          <t>2026-09-04</t>
        </is>
      </c>
      <c r="Y53" s="26" t="inlineStr">
        <is>
          <t>B</t>
        </is>
      </c>
      <c r="Z53" s="26" t="inlineStr">
        <is>
          <t>nan</t>
        </is>
      </c>
      <c r="AA53" s="26" t="inlineStr">
        <is>
          <t>Qualified</t>
        </is>
      </c>
      <c r="AB53" s="27" t="inlineStr"/>
      <c r="AC53" s="32" t="inlineStr">
        <is>
          <t>Passed</t>
        </is>
      </c>
      <c r="AD53" s="32" t="inlineStr">
        <is>
          <t>Passed</t>
        </is>
      </c>
    </row>
    <row r="54">
      <c r="A54" s="25" t="inlineStr">
        <is>
          <t>LEAD-0050</t>
        </is>
      </c>
      <c r="B54" s="26" t="inlineStr">
        <is>
          <t>Nick Invests</t>
        </is>
      </c>
      <c r="C54" s="26" t="inlineStr">
        <is>
          <t>Lifestyle</t>
        </is>
      </c>
      <c r="D54" s="26" t="inlineStr">
        <is>
          <t>US</t>
        </is>
      </c>
      <c r="E54" s="26" t="inlineStr">
        <is>
          <t>EN</t>
        </is>
      </c>
      <c r="F54" s="26" t="inlineStr">
        <is>
          <t>YouTube</t>
        </is>
      </c>
      <c r="G54" s="26" t="inlineStr">
        <is>
          <t>https://www.youtube.com/channel/UCXzNNA2ngRpRiWvyA7eGd6w</t>
        </is>
      </c>
      <c r="H54" s="26" t="inlineStr">
        <is>
          <t>UCXzNNA2ngRpRiWvyA7eGd6w</t>
        </is>
      </c>
      <c r="I54" s="26" t="inlineStr">
        <is>
          <t>https://www.youtube.com/channel/UCXzNNA2ngRpRiWvyA7eGd6w</t>
        </is>
      </c>
      <c r="J54" s="37" t="n">
        <v>193000</v>
      </c>
      <c r="K54" s="34" t="inlineStr">
        <is>
          <t>2026-09-03</t>
        </is>
      </c>
      <c r="L54" s="26" t="inlineStr">
        <is>
          <t>https://www.youtube.com/channel/UCXzNNA2ngRpRiWvyA7eGd6w</t>
        </is>
      </c>
      <c r="M54" s="37" t="n">
        <v>30</v>
      </c>
      <c r="N54" s="37" t="n">
        <v>60</v>
      </c>
      <c r="O54" s="26" t="inlineStr">
        <is>
          <t>Established channel: 193,000 subscribers, 358 videos published</t>
        </is>
      </c>
      <c r="P54" s="26" t="inlineStr">
        <is>
          <t>https://www.youtube.com/channel/UCXzNNA2ngRpRiWvyA7eGd6w</t>
        </is>
      </c>
      <c r="Q54" s="26" t="inlineStr">
        <is>
          <t>Signals: high_upload_frequency</t>
        </is>
      </c>
      <c r="R54" s="26" t="inlineStr">
        <is>
          <t>https://www.youtube.com/channel/UCXzNNA2ngRpRiWvyA7eGd6w</t>
        </is>
      </c>
      <c r="S54" s="26" t="inlineStr">
        <is>
          <t>email</t>
        </is>
      </c>
      <c r="T54" s="26" t="inlineStr">
        <is>
          <t>nickinvestsusa@gmail.com</t>
        </is>
      </c>
      <c r="U54" s="26" t="inlineStr">
        <is>
          <t>https://www.youtube.com/channel/UCXzNNA2ngRpRiWvyA7eGd6w</t>
        </is>
      </c>
      <c r="V54" s="26" t="inlineStr">
        <is>
          <t>https://www.youtube.com/channel/UCXzNNA2ngRpRiWvyA7eGd6w</t>
        </is>
      </c>
      <c r="W54" s="26" t="inlineStr">
        <is>
          <t>https://www.youtube.com/channel/UCXzNNA2ngRpRiWvyA7eGd6w</t>
        </is>
      </c>
      <c r="X54" s="34" t="inlineStr">
        <is>
          <t>2026-09-04</t>
        </is>
      </c>
      <c r="Y54" s="26" t="inlineStr">
        <is>
          <t>B</t>
        </is>
      </c>
      <c r="Z54" s="26" t="inlineStr">
        <is>
          <t>nan</t>
        </is>
      </c>
      <c r="AA54" s="26" t="inlineStr">
        <is>
          <t>Qualified</t>
        </is>
      </c>
      <c r="AB54" s="27" t="inlineStr"/>
      <c r="AC54" s="32" t="inlineStr">
        <is>
          <t>Passed</t>
        </is>
      </c>
      <c r="AD54" s="32" t="inlineStr">
        <is>
          <t>Passed</t>
        </is>
      </c>
    </row>
    <row r="55">
      <c r="A55" s="25" t="inlineStr">
        <is>
          <t>LEAD-0051</t>
        </is>
      </c>
      <c r="B55" s="26" t="inlineStr">
        <is>
          <t>Escape Fitness</t>
        </is>
      </c>
      <c r="C55" s="26" t="inlineStr">
        <is>
          <t>Fitness</t>
        </is>
      </c>
      <c r="D55" s="26" t="inlineStr">
        <is>
          <t>US</t>
        </is>
      </c>
      <c r="E55" s="26" t="inlineStr">
        <is>
          <t>EN</t>
        </is>
      </c>
      <c r="F55" s="26" t="inlineStr">
        <is>
          <t>YouTube</t>
        </is>
      </c>
      <c r="G55" s="26" t="inlineStr">
        <is>
          <t>https://www.youtube.com/channel/UCDu9lqPk0PlRu70DuW4PQAQ</t>
        </is>
      </c>
      <c r="H55" s="26" t="inlineStr">
        <is>
          <t>UCDu9lqPk0PlRu70DuW4PQAQ</t>
        </is>
      </c>
      <c r="I55" s="26" t="inlineStr">
        <is>
          <t>https://www.youtube.com/channel/UCDu9lqPk0PlRu70DuW4PQAQ</t>
        </is>
      </c>
      <c r="J55" s="37" t="n">
        <v>113000</v>
      </c>
      <c r="K55" s="34" t="inlineStr">
        <is>
          <t>2026-09-03</t>
        </is>
      </c>
      <c r="L55" s="26" t="inlineStr">
        <is>
          <t>https://www.youtube.com/channel/UCDu9lqPk0PlRu70DuW4PQAQ</t>
        </is>
      </c>
      <c r="M55" s="37" t="n">
        <v>15</v>
      </c>
      <c r="N55" s="37" t="n">
        <v>30</v>
      </c>
      <c r="O55" s="26" t="inlineStr">
        <is>
          <t>Keywords: sponsor</t>
        </is>
      </c>
      <c r="P55" s="26" t="inlineStr">
        <is>
          <t>https://www.youtube.com/channel/UCDu9lqPk0PlRu70DuW4PQAQ</t>
        </is>
      </c>
      <c r="Q55" s="26" t="inlineStr">
        <is>
          <t>Signals: high_upload_frequency</t>
        </is>
      </c>
      <c r="R55" s="26" t="inlineStr">
        <is>
          <t>https://www.youtube.com/channel/UCDu9lqPk0PlRu70DuW4PQAQ</t>
        </is>
      </c>
      <c r="S55" s="26" t="inlineStr">
        <is>
          <t>email</t>
        </is>
      </c>
      <c r="T55" s="26" t="inlineStr">
        <is>
          <t>sales@escapefitness.com</t>
        </is>
      </c>
      <c r="U55" s="26" t="inlineStr">
        <is>
          <t>https://www.youtube.com/channel/UCDu9lqPk0PlRu70DuW4PQAQ</t>
        </is>
      </c>
      <c r="V55" s="26" t="inlineStr">
        <is>
          <t>https://www.youtube.com/channel/UCDu9lqPk0PlRu70DuW4PQAQ</t>
        </is>
      </c>
      <c r="W55" s="26" t="inlineStr">
        <is>
          <t>https://www.youtube.com/channel/UCDu9lqPk0PlRu70DuW4PQAQ</t>
        </is>
      </c>
      <c r="X55" s="34" t="inlineStr">
        <is>
          <t>2026-09-04</t>
        </is>
      </c>
      <c r="Y55" s="26" t="inlineStr">
        <is>
          <t>B</t>
        </is>
      </c>
      <c r="Z55" s="26" t="inlineStr">
        <is>
          <t>nan</t>
        </is>
      </c>
      <c r="AA55" s="26" t="inlineStr">
        <is>
          <t>Qualified</t>
        </is>
      </c>
      <c r="AB55" s="27" t="inlineStr"/>
      <c r="AC55" s="32" t="inlineStr">
        <is>
          <t>Passed</t>
        </is>
      </c>
      <c r="AD55" s="32" t="inlineStr">
        <is>
          <t>Passed</t>
        </is>
      </c>
    </row>
    <row r="56">
      <c r="A56" s="25" t="inlineStr">
        <is>
          <t>LEAD-0052</t>
        </is>
      </c>
      <c r="B56" s="26" t="inlineStr">
        <is>
          <t>Bridey Drake</t>
        </is>
      </c>
      <c r="C56" s="26" t="inlineStr">
        <is>
          <t>Lifestyle</t>
        </is>
      </c>
      <c r="D56" s="26" t="inlineStr">
        <is>
          <t>AU</t>
        </is>
      </c>
      <c r="E56" s="26" t="inlineStr">
        <is>
          <t>EN</t>
        </is>
      </c>
      <c r="F56" s="26" t="inlineStr">
        <is>
          <t>YouTube</t>
        </is>
      </c>
      <c r="G56" s="26" t="inlineStr">
        <is>
          <t>https://www.youtube.com/channel/UChrA9LSeVcLRQiMkcvdFhMQ</t>
        </is>
      </c>
      <c r="H56" s="26" t="inlineStr">
        <is>
          <t>UChrA9LSeVcLRQiMkcvdFhMQ</t>
        </is>
      </c>
      <c r="I56" s="26" t="inlineStr">
        <is>
          <t>https://www.youtube.com/channel/UChrA9LSeVcLRQiMkcvdFhMQ</t>
        </is>
      </c>
      <c r="J56" s="37" t="n">
        <v>4890000</v>
      </c>
      <c r="K56" s="34" t="inlineStr">
        <is>
          <t>2026-09-03</t>
        </is>
      </c>
      <c r="L56" s="26" t="inlineStr">
        <is>
          <t>https://www.youtube.com/channel/UChrA9LSeVcLRQiMkcvdFhMQ</t>
        </is>
      </c>
      <c r="M56" s="37" t="n">
        <v>39</v>
      </c>
      <c r="N56" s="37" t="n">
        <v>78</v>
      </c>
      <c r="O56" s="26" t="inlineStr">
        <is>
          <t>Established channel: 4,890,000 subscribers, 1793 videos published</t>
        </is>
      </c>
      <c r="P56" s="26" t="inlineStr">
        <is>
          <t>https://www.youtube.com/channel/UChrA9LSeVcLRQiMkcvdFhMQ</t>
        </is>
      </c>
      <c r="Q56" s="26" t="inlineStr">
        <is>
          <t>Signals: high_upload_frequency</t>
        </is>
      </c>
      <c r="R56" s="26" t="inlineStr">
        <is>
          <t>https://www.youtube.com/channel/UChrA9LSeVcLRQiMkcvdFhMQ</t>
        </is>
      </c>
      <c r="S56" s="26" t="inlineStr">
        <is>
          <t>email</t>
        </is>
      </c>
      <c r="T56" s="26" t="inlineStr">
        <is>
          <t>bridey@bridey.com</t>
        </is>
      </c>
      <c r="U56" s="26" t="inlineStr">
        <is>
          <t>https://www.youtube.com/channel/UChrA9LSeVcLRQiMkcvdFhMQ</t>
        </is>
      </c>
      <c r="V56" s="26" t="inlineStr">
        <is>
          <t>https://www.youtube.com/channel/UChrA9LSeVcLRQiMkcvdFhMQ</t>
        </is>
      </c>
      <c r="W56" s="26" t="inlineStr">
        <is>
          <t>https://www.youtube.com/channel/UChrA9LSeVcLRQiMkcvdFhMQ</t>
        </is>
      </c>
      <c r="X56" s="34" t="inlineStr">
        <is>
          <t>2026-09-04</t>
        </is>
      </c>
      <c r="Y56" s="26" t="inlineStr">
        <is>
          <t>A</t>
        </is>
      </c>
      <c r="Z56" s="26" t="inlineStr">
        <is>
          <t>nan</t>
        </is>
      </c>
      <c r="AA56" s="26" t="inlineStr">
        <is>
          <t>Qualified</t>
        </is>
      </c>
      <c r="AB56" s="27" t="inlineStr"/>
      <c r="AC56" s="32" t="inlineStr">
        <is>
          <t>Passed</t>
        </is>
      </c>
      <c r="AD56" s="32" t="inlineStr">
        <is>
          <t>Passed</t>
        </is>
      </c>
    </row>
    <row r="57">
      <c r="A57" s="25" t="inlineStr">
        <is>
          <t>LEAD-0053</t>
        </is>
      </c>
      <c r="B57" s="26" t="inlineStr">
        <is>
          <t>MyWifeQuitHerJob Ecommerce Channel</t>
        </is>
      </c>
      <c r="C57" s="26" t="inlineStr">
        <is>
          <t>Business</t>
        </is>
      </c>
      <c r="D57" s="26" t="inlineStr">
        <is>
          <t>US</t>
        </is>
      </c>
      <c r="E57" s="26" t="inlineStr">
        <is>
          <t>EN</t>
        </is>
      </c>
      <c r="F57" s="26" t="inlineStr">
        <is>
          <t>YouTube</t>
        </is>
      </c>
      <c r="G57" s="26" t="inlineStr">
        <is>
          <t>https://www.youtube.com/channel/UC32FqN3ArzlvDnZvMmtUitA</t>
        </is>
      </c>
      <c r="H57" s="26" t="inlineStr">
        <is>
          <t>UC32FqN3ArzlvDnZvMmtUitA</t>
        </is>
      </c>
      <c r="I57" s="26" t="inlineStr">
        <is>
          <t>http://mywifequitherjob.com</t>
        </is>
      </c>
      <c r="J57" s="37" t="n">
        <v>527000</v>
      </c>
      <c r="K57" s="34" t="inlineStr">
        <is>
          <t>2026-09-03</t>
        </is>
      </c>
      <c r="L57" s="26" t="inlineStr">
        <is>
          <t>https://www.youtube.com/channel/UC32FqN3ArzlvDnZvMmtUitA</t>
        </is>
      </c>
      <c r="M57" s="37" t="n">
        <v>22</v>
      </c>
      <c r="N57" s="37" t="n">
        <v>44</v>
      </c>
      <c r="O57" s="26" t="inlineStr">
        <is>
          <t>Keywords: sponsor, affiliate</t>
        </is>
      </c>
      <c r="P57" s="26" t="inlineStr">
        <is>
          <t>https://www.youtube.com/channel/UC32FqN3ArzlvDnZvMmtUitA</t>
        </is>
      </c>
      <c r="Q57" s="26" t="inlineStr">
        <is>
          <t>Signals: high_upload_frequency, relevant_topic_category</t>
        </is>
      </c>
      <c r="R57" s="26" t="inlineStr">
        <is>
          <t>https://www.youtube.com/channel/UC32FqN3ArzlvDnZvMmtUitA</t>
        </is>
      </c>
      <c r="S57" s="26" t="inlineStr">
        <is>
          <t>website</t>
        </is>
      </c>
      <c r="T57" s="26" t="inlineStr">
        <is>
          <t>nan</t>
        </is>
      </c>
      <c r="U57" s="26" t="inlineStr">
        <is>
          <t>http://mywifequitherjob.com</t>
        </is>
      </c>
      <c r="V57" s="26" t="inlineStr">
        <is>
          <t>https://www.youtube.com/channel/UC32FqN3ArzlvDnZvMmtUitA</t>
        </is>
      </c>
      <c r="W57" s="26" t="inlineStr">
        <is>
          <t>https://www.youtube.com/channel/UC32FqN3ArzlvDnZvMmtUitA</t>
        </is>
      </c>
      <c r="X57" s="34" t="inlineStr">
        <is>
          <t>2026-09-04</t>
        </is>
      </c>
      <c r="Y57" s="26" t="inlineStr">
        <is>
          <t>B</t>
        </is>
      </c>
      <c r="Z57" s="26" t="inlineStr">
        <is>
          <t>nan</t>
        </is>
      </c>
      <c r="AA57" s="26" t="inlineStr">
        <is>
          <t>Qualified</t>
        </is>
      </c>
      <c r="AB57" s="27" t="inlineStr"/>
      <c r="AC57" s="32" t="inlineStr">
        <is>
          <t>Passed</t>
        </is>
      </c>
      <c r="AD57" s="32" t="inlineStr">
        <is>
          <t>Passed</t>
        </is>
      </c>
    </row>
    <row r="58">
      <c r="A58" s="25" t="inlineStr">
        <is>
          <t>LEAD-0054</t>
        </is>
      </c>
      <c r="B58" s="26" t="inlineStr">
        <is>
          <t>Lewis Howes</t>
        </is>
      </c>
      <c r="C58" s="26" t="inlineStr">
        <is>
          <t>Tech</t>
        </is>
      </c>
      <c r="D58" s="26" t="inlineStr">
        <is>
          <t>US</t>
        </is>
      </c>
      <c r="E58" s="26" t="inlineStr">
        <is>
          <t>EN</t>
        </is>
      </c>
      <c r="F58" s="26" t="inlineStr">
        <is>
          <t>YouTube</t>
        </is>
      </c>
      <c r="G58" s="26" t="inlineStr">
        <is>
          <t>https://www.youtube.com/channel/UCKsP3v2JeT2hWI_HzkxWiMA</t>
        </is>
      </c>
      <c r="H58" s="26" t="inlineStr">
        <is>
          <t>UCKsP3v2JeT2hWI_HzkxWiMA</t>
        </is>
      </c>
      <c r="I58" s="26" t="inlineStr">
        <is>
          <t>https://lewishowes.com/</t>
        </is>
      </c>
      <c r="J58" s="37" t="n">
        <v>5000000</v>
      </c>
      <c r="K58" s="34" t="inlineStr">
        <is>
          <t>2026-09-03</t>
        </is>
      </c>
      <c r="L58" s="26" t="inlineStr">
        <is>
          <t>https://www.youtube.com/channel/UCKsP3v2JeT2hWI_HzkxWiMA</t>
        </is>
      </c>
      <c r="M58" s="37" t="n">
        <v>41</v>
      </c>
      <c r="N58" s="37" t="n">
        <v>82</v>
      </c>
      <c r="O58" s="26" t="inlineStr">
        <is>
          <t>Established channel: 5,000,000 subscribers, 3813 videos published</t>
        </is>
      </c>
      <c r="P58" s="26" t="inlineStr">
        <is>
          <t>https://www.youtube.com/channel/UCKsP3v2JeT2hWI_HzkxWiMA</t>
        </is>
      </c>
      <c r="Q58" s="26" t="inlineStr">
        <is>
          <t>Signals: high_upload_frequency</t>
        </is>
      </c>
      <c r="R58" s="26" t="inlineStr">
        <is>
          <t>https://www.youtube.com/channel/UCKsP3v2JeT2hWI_HzkxWiMA</t>
        </is>
      </c>
      <c r="S58" s="26" t="inlineStr">
        <is>
          <t>website</t>
        </is>
      </c>
      <c r="T58" s="26" t="inlineStr">
        <is>
          <t>nan</t>
        </is>
      </c>
      <c r="U58" s="26" t="inlineStr">
        <is>
          <t>https://lewishowes.com/</t>
        </is>
      </c>
      <c r="V58" s="26" t="inlineStr">
        <is>
          <t>https://www.youtube.com/channel/UCKsP3v2JeT2hWI_HzkxWiMA</t>
        </is>
      </c>
      <c r="W58" s="26" t="inlineStr">
        <is>
          <t>https://www.youtube.com/channel/UCKsP3v2JeT2hWI_HzkxWiMA</t>
        </is>
      </c>
      <c r="X58" s="34" t="inlineStr">
        <is>
          <t>2026-09-04</t>
        </is>
      </c>
      <c r="Y58" s="26" t="inlineStr">
        <is>
          <t>A</t>
        </is>
      </c>
      <c r="Z58" s="26" t="inlineStr">
        <is>
          <t>nan</t>
        </is>
      </c>
      <c r="AA58" s="26" t="inlineStr">
        <is>
          <t>Qualified</t>
        </is>
      </c>
      <c r="AB58" s="27" t="inlineStr"/>
      <c r="AC58" s="32" t="inlineStr">
        <is>
          <t>Passed</t>
        </is>
      </c>
      <c r="AD58" s="32" t="inlineStr">
        <is>
          <t>Passed</t>
        </is>
      </c>
    </row>
    <row r="59">
      <c r="A59" s="25" t="inlineStr">
        <is>
          <t>LEAD-0055</t>
        </is>
      </c>
      <c r="B59" s="26" t="inlineStr">
        <is>
          <t xml:space="preserve">Australian Womens Life And Style </t>
        </is>
      </c>
      <c r="C59" s="26" t="inlineStr">
        <is>
          <t>Lifestyle</t>
        </is>
      </c>
      <c r="D59" s="26" t="inlineStr">
        <is>
          <t>AU</t>
        </is>
      </c>
      <c r="E59" s="26" t="inlineStr">
        <is>
          <t>EN</t>
        </is>
      </c>
      <c r="F59" s="26" t="inlineStr">
        <is>
          <t>YouTube</t>
        </is>
      </c>
      <c r="G59" s="26" t="inlineStr">
        <is>
          <t>https://www.youtube.com/channel/UC3PegwVc4_lw88w8Ch_MUFw</t>
        </is>
      </c>
      <c r="H59" s="26" t="inlineStr">
        <is>
          <t>UC3PegwVc4_lw88w8Ch_MUFw</t>
        </is>
      </c>
      <c r="I59" s="26" t="inlineStr">
        <is>
          <t>https://www.youtube.com/channel/UC3PegwVc4_lw88w8Ch_MUFw</t>
        </is>
      </c>
      <c r="J59" s="37" t="n">
        <v>143000</v>
      </c>
      <c r="K59" s="34" t="inlineStr">
        <is>
          <t>2026-09-03</t>
        </is>
      </c>
      <c r="L59" s="26" t="inlineStr">
        <is>
          <t>https://www.youtube.com/channel/UC3PegwVc4_lw88w8Ch_MUFw</t>
        </is>
      </c>
      <c r="M59" s="37" t="n">
        <v>5</v>
      </c>
      <c r="N59" s="37" t="n">
        <v>10</v>
      </c>
      <c r="O59" s="26" t="inlineStr">
        <is>
          <t>Keywords: discount code, use code, collab</t>
        </is>
      </c>
      <c r="P59" s="26" t="inlineStr">
        <is>
          <t>https://www.youtube.com/channel/UC3PegwVc4_lw88w8Ch_MUFw</t>
        </is>
      </c>
      <c r="Q59" s="26" t="inlineStr">
        <is>
          <t>Signals: shorts, high_upload_frequency</t>
        </is>
      </c>
      <c r="R59" s="26" t="inlineStr">
        <is>
          <t>https://www.youtube.com/channel/UC3PegwVc4_lw88w8Ch_MUFw</t>
        </is>
      </c>
      <c r="S59" s="26" t="inlineStr">
        <is>
          <t>email</t>
        </is>
      </c>
      <c r="T59" s="26" t="inlineStr">
        <is>
          <t>australianwomenslifeandstyle@outlook.com</t>
        </is>
      </c>
      <c r="U59" s="26" t="inlineStr">
        <is>
          <t>https://www.youtube.com/channel/UC3PegwVc4_lw88w8Ch_MUFw</t>
        </is>
      </c>
      <c r="V59" s="26" t="inlineStr">
        <is>
          <t>https://www.youtube.com/channel/UC3PegwVc4_lw88w8Ch_MUFw</t>
        </is>
      </c>
      <c r="W59" s="26" t="inlineStr">
        <is>
          <t>https://www.youtube.com/channel/UC3PegwVc4_lw88w8Ch_MUFw</t>
        </is>
      </c>
      <c r="X59" s="34" t="inlineStr">
        <is>
          <t>2026-09-04</t>
        </is>
      </c>
      <c r="Y59" s="26" t="inlineStr">
        <is>
          <t>B</t>
        </is>
      </c>
      <c r="Z59" s="26" t="inlineStr">
        <is>
          <t>nan</t>
        </is>
      </c>
      <c r="AA59" s="26" t="inlineStr">
        <is>
          <t>Qualified</t>
        </is>
      </c>
      <c r="AB59" s="27" t="inlineStr"/>
      <c r="AC59" s="32" t="inlineStr">
        <is>
          <t>Passed</t>
        </is>
      </c>
      <c r="AD59" s="32" t="inlineStr">
        <is>
          <t>Passed</t>
        </is>
      </c>
    </row>
    <row r="60">
      <c r="A60" s="25" t="inlineStr">
        <is>
          <t>LEAD-0056</t>
        </is>
      </c>
      <c r="B60" s="26" t="inlineStr">
        <is>
          <t>Shark Tank Australia</t>
        </is>
      </c>
      <c r="C60" s="26" t="inlineStr">
        <is>
          <t>Finance</t>
        </is>
      </c>
      <c r="D60" s="26" t="inlineStr">
        <is>
          <t>AU</t>
        </is>
      </c>
      <c r="E60" s="26" t="inlineStr">
        <is>
          <t>EN</t>
        </is>
      </c>
      <c r="F60" s="26" t="inlineStr">
        <is>
          <t>YouTube</t>
        </is>
      </c>
      <c r="G60" s="26" t="inlineStr">
        <is>
          <t>https://www.youtube.com/channel/UCmdI-Y9DGqIUzVXGZ-o1pOQ</t>
        </is>
      </c>
      <c r="H60" s="26" t="inlineStr">
        <is>
          <t>UCmdI-Y9DGqIUzVXGZ-o1pOQ</t>
        </is>
      </c>
      <c r="I60" s="26" t="inlineStr">
        <is>
          <t>http://aan.sonypictures.com/SharkTankAustralia</t>
        </is>
      </c>
      <c r="J60" s="37" t="n">
        <v>526000</v>
      </c>
      <c r="K60" s="34" t="inlineStr">
        <is>
          <t>2026-08-31</t>
        </is>
      </c>
      <c r="L60" s="26" t="inlineStr">
        <is>
          <t>https://www.youtube.com/channel/UCmdI-Y9DGqIUzVXGZ-o1pOQ</t>
        </is>
      </c>
      <c r="M60" s="37" t="n">
        <v>13</v>
      </c>
      <c r="N60" s="37" t="n">
        <v>26</v>
      </c>
      <c r="O60" s="26" t="inlineStr">
        <is>
          <t>Keywords: affiliate</t>
        </is>
      </c>
      <c r="P60" s="26" t="inlineStr">
        <is>
          <t>https://www.youtube.com/channel/UCmdI-Y9DGqIUzVXGZ-o1pOQ</t>
        </is>
      </c>
      <c r="Q60" s="26" t="inlineStr">
        <is>
          <t>Signals: high_upload_frequency</t>
        </is>
      </c>
      <c r="R60" s="26" t="inlineStr">
        <is>
          <t>https://www.youtube.com/channel/UCmdI-Y9DGqIUzVXGZ-o1pOQ</t>
        </is>
      </c>
      <c r="S60" s="26" t="inlineStr">
        <is>
          <t>website</t>
        </is>
      </c>
      <c r="T60" s="26" t="inlineStr">
        <is>
          <t>nan</t>
        </is>
      </c>
      <c r="U60" s="26" t="inlineStr">
        <is>
          <t>http://aan.sonypictures.com/SharkTankAustralia</t>
        </is>
      </c>
      <c r="V60" s="26" t="inlineStr">
        <is>
          <t>https://www.youtube.com/channel/UCmdI-Y9DGqIUzVXGZ-o1pOQ</t>
        </is>
      </c>
      <c r="W60" s="26" t="inlineStr">
        <is>
          <t>https://www.youtube.com/channel/UCmdI-Y9DGqIUzVXGZ-o1pOQ</t>
        </is>
      </c>
      <c r="X60" s="34" t="inlineStr">
        <is>
          <t>2026-09-04</t>
        </is>
      </c>
      <c r="Y60" s="26" t="inlineStr">
        <is>
          <t>B</t>
        </is>
      </c>
      <c r="Z60" s="26" t="inlineStr">
        <is>
          <t>nan</t>
        </is>
      </c>
      <c r="AA60" s="26" t="inlineStr">
        <is>
          <t>Qualified</t>
        </is>
      </c>
      <c r="AB60" s="27" t="inlineStr"/>
      <c r="AC60" s="32" t="inlineStr">
        <is>
          <t>Passed</t>
        </is>
      </c>
      <c r="AD60" s="32" t="inlineStr">
        <is>
          <t>Passed</t>
        </is>
      </c>
    </row>
    <row r="61">
      <c r="A61" s="25" t="inlineStr">
        <is>
          <t>LEAD-0057</t>
        </is>
      </c>
      <c r="B61" s="26" t="inlineStr">
        <is>
          <t>ATOMIC - The Home For Small Business Owners</t>
        </is>
      </c>
      <c r="C61" s="26" t="inlineStr">
        <is>
          <t>Lifestyle</t>
        </is>
      </c>
      <c r="D61" s="26" t="inlineStr">
        <is>
          <t>GB</t>
        </is>
      </c>
      <c r="E61" s="26" t="inlineStr">
        <is>
          <t>EN</t>
        </is>
      </c>
      <c r="F61" s="26" t="inlineStr">
        <is>
          <t>YouTube</t>
        </is>
      </c>
      <c r="G61" s="26" t="inlineStr">
        <is>
          <t>https://www.youtube.com/channel/UC1TdR7fXairlkVsy-6PdB6A</t>
        </is>
      </c>
      <c r="H61" s="26" t="inlineStr">
        <is>
          <t>UC1TdR7fXairlkVsy-6PdB6A</t>
        </is>
      </c>
      <c r="I61" s="26" t="inlineStr">
        <is>
          <t>http://www.atomic.site</t>
        </is>
      </c>
      <c r="J61" s="37" t="n">
        <v>14900</v>
      </c>
      <c r="K61" s="34" t="inlineStr">
        <is>
          <t>2026-09-04</t>
        </is>
      </c>
      <c r="L61" s="26" t="inlineStr">
        <is>
          <t>https://www.youtube.com/channel/UC1TdR7fXairlkVsy-6PdB6A</t>
        </is>
      </c>
      <c r="M61" s="37" t="n">
        <v>18</v>
      </c>
      <c r="N61" s="37" t="n">
        <v>36</v>
      </c>
      <c r="O61" s="26" t="inlineStr">
        <is>
          <t>Keywords: sponsor, link in bio, consulting, collab</t>
        </is>
      </c>
      <c r="P61" s="26" t="inlineStr">
        <is>
          <t>https://www.youtube.com/channel/UC1TdR7fXairlkVsy-6PdB6A</t>
        </is>
      </c>
      <c r="Q61" s="26" t="inlineStr">
        <is>
          <t>Signals: high_upload_frequency</t>
        </is>
      </c>
      <c r="R61" s="26" t="inlineStr">
        <is>
          <t>https://www.youtube.com/channel/UC1TdR7fXairlkVsy-6PdB6A</t>
        </is>
      </c>
      <c r="S61" s="26" t="inlineStr">
        <is>
          <t>website</t>
        </is>
      </c>
      <c r="T61" s="26" t="inlineStr">
        <is>
          <t>nan</t>
        </is>
      </c>
      <c r="U61" s="26" t="inlineStr">
        <is>
          <t>http://www.atomic.site</t>
        </is>
      </c>
      <c r="V61" s="26" t="inlineStr">
        <is>
          <t>https://www.youtube.com/channel/UC1TdR7fXairlkVsy-6PdB6A</t>
        </is>
      </c>
      <c r="W61" s="26" t="inlineStr">
        <is>
          <t>https://www.youtube.com/channel/UC1TdR7fXairlkVsy-6PdB6A</t>
        </is>
      </c>
      <c r="X61" s="34" t="inlineStr">
        <is>
          <t>2026-09-04</t>
        </is>
      </c>
      <c r="Y61" s="26" t="inlineStr">
        <is>
          <t>B</t>
        </is>
      </c>
      <c r="Z61" s="26" t="inlineStr">
        <is>
          <t>nan</t>
        </is>
      </c>
      <c r="AA61" s="26" t="inlineStr">
        <is>
          <t>Qualified</t>
        </is>
      </c>
      <c r="AB61" s="27" t="inlineStr"/>
      <c r="AC61" s="32" t="inlineStr">
        <is>
          <t>Passed</t>
        </is>
      </c>
      <c r="AD61" s="32" t="inlineStr">
        <is>
          <t>Passed</t>
        </is>
      </c>
    </row>
    <row r="62">
      <c r="A62" s="25" t="inlineStr">
        <is>
          <t>LEAD-0058</t>
        </is>
      </c>
      <c r="B62" s="26" t="inlineStr">
        <is>
          <t>The Weird Canadian</t>
        </is>
      </c>
      <c r="C62" s="26" t="inlineStr">
        <is>
          <t>Tech</t>
        </is>
      </c>
      <c r="D62" s="26" t="inlineStr">
        <is>
          <t>CA</t>
        </is>
      </c>
      <c r="E62" s="26" t="inlineStr">
        <is>
          <t>EN</t>
        </is>
      </c>
      <c r="F62" s="26" t="inlineStr">
        <is>
          <t>YouTube</t>
        </is>
      </c>
      <c r="G62" s="26" t="inlineStr">
        <is>
          <t>https://www.youtube.com/channel/UCw5bOAzVABn_yGqvYQfWdQw</t>
        </is>
      </c>
      <c r="H62" s="26" t="inlineStr">
        <is>
          <t>UCw5bOAzVABn_yGqvYQfWdQw</t>
        </is>
      </c>
      <c r="I62" s="26" t="inlineStr">
        <is>
          <t>https://www.youtube.com/channel/UCw5bOAzVABn_yGqvYQfWdQw</t>
        </is>
      </c>
      <c r="J62" s="37" t="n">
        <v>16800</v>
      </c>
      <c r="K62" s="34" t="inlineStr">
        <is>
          <t>2026-09-03</t>
        </is>
      </c>
      <c r="L62" s="26" t="inlineStr">
        <is>
          <t>https://www.youtube.com/channel/UCw5bOAzVABn_yGqvYQfWdQw</t>
        </is>
      </c>
      <c r="M62" s="37" t="n">
        <v>37</v>
      </c>
      <c r="N62" s="37" t="n">
        <v>74</v>
      </c>
      <c r="O62" s="26" t="inlineStr">
        <is>
          <t>Keywords: sponsor</t>
        </is>
      </c>
      <c r="P62" s="26" t="inlineStr">
        <is>
          <t>https://www.youtube.com/channel/UCw5bOAzVABn_yGqvYQfWdQw</t>
        </is>
      </c>
      <c r="Q62" s="26" t="inlineStr">
        <is>
          <t>Signals: shorts, high_upload_frequency, relevant_topic_category</t>
        </is>
      </c>
      <c r="R62" s="26" t="inlineStr">
        <is>
          <t>https://www.youtube.com/channel/UCw5bOAzVABn_yGqvYQfWdQw</t>
        </is>
      </c>
      <c r="S62" s="26" t="inlineStr">
        <is>
          <t>email</t>
        </is>
      </c>
      <c r="T62" s="26" t="inlineStr">
        <is>
          <t>hello@theweirdcanadian.ca</t>
        </is>
      </c>
      <c r="U62" s="26" t="inlineStr">
        <is>
          <t>https://www.youtube.com/channel/UCw5bOAzVABn_yGqvYQfWdQw</t>
        </is>
      </c>
      <c r="V62" s="26" t="inlineStr">
        <is>
          <t>https://www.youtube.com/channel/UCw5bOAzVABn_yGqvYQfWdQw</t>
        </is>
      </c>
      <c r="W62" s="26" t="inlineStr">
        <is>
          <t>https://www.youtube.com/channel/UCw5bOAzVABn_yGqvYQfWdQw</t>
        </is>
      </c>
      <c r="X62" s="34" t="inlineStr">
        <is>
          <t>2026-09-04</t>
        </is>
      </c>
      <c r="Y62" s="26" t="inlineStr">
        <is>
          <t>B</t>
        </is>
      </c>
      <c r="Z62" s="26" t="inlineStr">
        <is>
          <t>nan</t>
        </is>
      </c>
      <c r="AA62" s="26" t="inlineStr">
        <is>
          <t>Qualified</t>
        </is>
      </c>
      <c r="AB62" s="27" t="inlineStr"/>
      <c r="AC62" s="32" t="inlineStr">
        <is>
          <t>Passed</t>
        </is>
      </c>
      <c r="AD62" s="32" t="inlineStr">
        <is>
          <t>Passed</t>
        </is>
      </c>
    </row>
    <row r="63">
      <c r="A63" s="25" t="inlineStr">
        <is>
          <t>LEAD-0059</t>
        </is>
      </c>
      <c r="B63" s="26" t="inlineStr">
        <is>
          <t>Fellas Finance</t>
        </is>
      </c>
      <c r="C63" s="26" t="inlineStr">
        <is>
          <t>Business</t>
        </is>
      </c>
      <c r="D63" s="26" t="inlineStr">
        <is>
          <t>GB</t>
        </is>
      </c>
      <c r="E63" s="26" t="inlineStr">
        <is>
          <t>EN</t>
        </is>
      </c>
      <c r="F63" s="26" t="inlineStr">
        <is>
          <t>YouTube</t>
        </is>
      </c>
      <c r="G63" s="26" t="inlineStr">
        <is>
          <t>https://www.youtube.com/channel/UCiuE9YB2QvFqENARD3E7F2A</t>
        </is>
      </c>
      <c r="H63" s="26" t="inlineStr">
        <is>
          <t>UCiuE9YB2QvFqENARD3E7F2A</t>
        </is>
      </c>
      <c r="I63" s="26" t="inlineStr">
        <is>
          <t>https://www.youtube.com/channel/UCiuE9YB2QvFqENARD3E7F2A</t>
        </is>
      </c>
      <c r="J63" s="37" t="n">
        <v>19300</v>
      </c>
      <c r="K63" s="34" t="inlineStr">
        <is>
          <t>2026-09-04</t>
        </is>
      </c>
      <c r="L63" s="26" t="inlineStr">
        <is>
          <t>https://www.youtube.com/channel/UCiuE9YB2QvFqENARD3E7F2A</t>
        </is>
      </c>
      <c r="M63" s="37" t="n">
        <v>8</v>
      </c>
      <c r="N63" s="37" t="n">
        <v>16</v>
      </c>
      <c r="O63" s="26" t="inlineStr">
        <is>
          <t>Keywords: sponsor, affiliate</t>
        </is>
      </c>
      <c r="P63" s="26" t="inlineStr">
        <is>
          <t>https://www.youtube.com/channel/UCiuE9YB2QvFqENARD3E7F2A</t>
        </is>
      </c>
      <c r="Q63" s="26" t="inlineStr">
        <is>
          <t>Signals: high_upload_frequency, relevant_topic_category</t>
        </is>
      </c>
      <c r="R63" s="26" t="inlineStr">
        <is>
          <t>https://www.youtube.com/channel/UCiuE9YB2QvFqENARD3E7F2A</t>
        </is>
      </c>
      <c r="S63" s="26" t="inlineStr">
        <is>
          <t>email</t>
        </is>
      </c>
      <c r="T63" s="26" t="inlineStr">
        <is>
          <t>hello@fellasfinance.co.uk</t>
        </is>
      </c>
      <c r="U63" s="26" t="inlineStr">
        <is>
          <t>https://www.youtube.com/channel/UCiuE9YB2QvFqENARD3E7F2A</t>
        </is>
      </c>
      <c r="V63" s="26" t="inlineStr">
        <is>
          <t>https://www.youtube.com/channel/UCiuE9YB2QvFqENARD3E7F2A</t>
        </is>
      </c>
      <c r="W63" s="26" t="inlineStr">
        <is>
          <t>https://www.youtube.com/channel/UCiuE9YB2QvFqENARD3E7F2A</t>
        </is>
      </c>
      <c r="X63" s="34" t="inlineStr">
        <is>
          <t>2026-09-04</t>
        </is>
      </c>
      <c r="Y63" s="26" t="inlineStr">
        <is>
          <t>B</t>
        </is>
      </c>
      <c r="Z63" s="26" t="inlineStr">
        <is>
          <t>nan</t>
        </is>
      </c>
      <c r="AA63" s="26" t="inlineStr">
        <is>
          <t>Qualified</t>
        </is>
      </c>
      <c r="AB63" s="27" t="inlineStr"/>
      <c r="AC63" s="32" t="inlineStr">
        <is>
          <t>Passed</t>
        </is>
      </c>
      <c r="AD63" s="32" t="inlineStr">
        <is>
          <t>Passed</t>
        </is>
      </c>
    </row>
    <row r="64">
      <c r="A64" s="25" t="inlineStr">
        <is>
          <t>LEAD-0060</t>
        </is>
      </c>
      <c r="B64" s="26" t="inlineStr">
        <is>
          <t>Overkill Singapore</t>
        </is>
      </c>
      <c r="C64" s="26" t="inlineStr">
        <is>
          <t>Lifestyle</t>
        </is>
      </c>
      <c r="D64" s="26" t="inlineStr">
        <is>
          <t>SG</t>
        </is>
      </c>
      <c r="E64" s="26" t="inlineStr">
        <is>
          <t>EN</t>
        </is>
      </c>
      <c r="F64" s="26" t="inlineStr">
        <is>
          <t>YouTube</t>
        </is>
      </c>
      <c r="G64" s="26" t="inlineStr">
        <is>
          <t>https://www.youtube.com/channel/UCN4KjsqbovLvPiAnyp64mIQ</t>
        </is>
      </c>
      <c r="H64" s="26" t="inlineStr">
        <is>
          <t>UCN4KjsqbovLvPiAnyp64mIQ</t>
        </is>
      </c>
      <c r="I64" s="26" t="inlineStr">
        <is>
          <t>https://www.youtube.com/channel/UCN4KjsqbovLvPiAnyp64mIQ</t>
        </is>
      </c>
      <c r="J64" s="37" t="n">
        <v>144000</v>
      </c>
      <c r="K64" s="34" t="inlineStr">
        <is>
          <t>2026-09-04</t>
        </is>
      </c>
      <c r="L64" s="26" t="inlineStr">
        <is>
          <t>https://www.youtube.com/channel/UCN4KjsqbovLvPiAnyp64mIQ</t>
        </is>
      </c>
      <c r="M64" s="37" t="n">
        <v>27</v>
      </c>
      <c r="N64" s="37" t="n">
        <v>54</v>
      </c>
      <c r="O64" s="26" t="inlineStr">
        <is>
          <t>Keywords: sponsor, promo code, collab</t>
        </is>
      </c>
      <c r="P64" s="26" t="inlineStr">
        <is>
          <t>https://www.youtube.com/channel/UCN4KjsqbovLvPiAnyp64mIQ</t>
        </is>
      </c>
      <c r="Q64" s="26" t="inlineStr">
        <is>
          <t>Signals: high_upload_frequency</t>
        </is>
      </c>
      <c r="R64" s="26" t="inlineStr">
        <is>
          <t>https://www.youtube.com/channel/UCN4KjsqbovLvPiAnyp64mIQ</t>
        </is>
      </c>
      <c r="S64" s="26" t="inlineStr">
        <is>
          <t>email</t>
        </is>
      </c>
      <c r="T64" s="26" t="inlineStr">
        <is>
          <t>business@overkill.sg</t>
        </is>
      </c>
      <c r="U64" s="26" t="inlineStr">
        <is>
          <t>https://www.youtube.com/channel/UCN4KjsqbovLvPiAnyp64mIQ</t>
        </is>
      </c>
      <c r="V64" s="26" t="inlineStr">
        <is>
          <t>https://www.youtube.com/channel/UCN4KjsqbovLvPiAnyp64mIQ</t>
        </is>
      </c>
      <c r="W64" s="26" t="inlineStr">
        <is>
          <t>https://www.youtube.com/channel/UCN4KjsqbovLvPiAnyp64mIQ</t>
        </is>
      </c>
      <c r="X64" s="34" t="inlineStr">
        <is>
          <t>2026-09-04</t>
        </is>
      </c>
      <c r="Y64" s="26" t="inlineStr">
        <is>
          <t>B</t>
        </is>
      </c>
      <c r="Z64" s="26" t="inlineStr">
        <is>
          <t>nan</t>
        </is>
      </c>
      <c r="AA64" s="26" t="inlineStr">
        <is>
          <t>Qualified</t>
        </is>
      </c>
      <c r="AB64" s="27" t="inlineStr"/>
      <c r="AC64" s="32" t="inlineStr">
        <is>
          <t>Passed</t>
        </is>
      </c>
      <c r="AD64" s="32" t="inlineStr">
        <is>
          <t>Passed</t>
        </is>
      </c>
    </row>
    <row r="65">
      <c r="A65" s="25" t="inlineStr">
        <is>
          <t>LEAD-0061</t>
        </is>
      </c>
      <c r="B65" s="26" t="inlineStr">
        <is>
          <t>English Addict with Mr Duncan</t>
        </is>
      </c>
      <c r="C65" s="26" t="inlineStr">
        <is>
          <t>Lifestyle</t>
        </is>
      </c>
      <c r="D65" s="26" t="inlineStr">
        <is>
          <t>GB</t>
        </is>
      </c>
      <c r="E65" s="26" t="inlineStr">
        <is>
          <t>EN</t>
        </is>
      </c>
      <c r="F65" s="26" t="inlineStr">
        <is>
          <t>YouTube</t>
        </is>
      </c>
      <c r="G65" s="26" t="inlineStr">
        <is>
          <t>https://www.youtube.com/channel/UC8pPDhxSn1nee70LRKJ0p3g</t>
        </is>
      </c>
      <c r="H65" s="26" t="inlineStr">
        <is>
          <t>UC8pPDhxSn1nee70LRKJ0p3g</t>
        </is>
      </c>
      <c r="I65" s="26" t="inlineStr">
        <is>
          <t>http://www.paypal.me/misterduncan</t>
        </is>
      </c>
      <c r="J65" s="37" t="n">
        <v>1870000</v>
      </c>
      <c r="K65" s="34" t="inlineStr">
        <is>
          <t>2026-09-03</t>
        </is>
      </c>
      <c r="L65" s="26" t="inlineStr">
        <is>
          <t>https://www.youtube.com/channel/UC8pPDhxSn1nee70LRKJ0p3g</t>
        </is>
      </c>
      <c r="M65" s="37" t="n">
        <v>11</v>
      </c>
      <c r="N65" s="37" t="n">
        <v>22</v>
      </c>
      <c r="O65" s="26" t="inlineStr">
        <is>
          <t>Established channel: 1,870,000 subscribers, 1861 videos published</t>
        </is>
      </c>
      <c r="P65" s="26" t="inlineStr">
        <is>
          <t>https://www.youtube.com/channel/UC8pPDhxSn1nee70LRKJ0p3g</t>
        </is>
      </c>
      <c r="Q65" s="26" t="inlineStr">
        <is>
          <t>Signals: high_upload_frequency</t>
        </is>
      </c>
      <c r="R65" s="26" t="inlineStr">
        <is>
          <t>https://www.youtube.com/channel/UC8pPDhxSn1nee70LRKJ0p3g</t>
        </is>
      </c>
      <c r="S65" s="26" t="inlineStr">
        <is>
          <t>website</t>
        </is>
      </c>
      <c r="T65" s="26" t="inlineStr">
        <is>
          <t>nan</t>
        </is>
      </c>
      <c r="U65" s="26" t="inlineStr">
        <is>
          <t>http://www.paypal.me/misterduncan</t>
        </is>
      </c>
      <c r="V65" s="26" t="inlineStr">
        <is>
          <t>https://www.youtube.com/channel/UC8pPDhxSn1nee70LRKJ0p3g</t>
        </is>
      </c>
      <c r="W65" s="26" t="inlineStr">
        <is>
          <t>https://www.youtube.com/channel/UC8pPDhxSn1nee70LRKJ0p3g</t>
        </is>
      </c>
      <c r="X65" s="34" t="inlineStr">
        <is>
          <t>2026-09-04</t>
        </is>
      </c>
      <c r="Y65" s="26" t="inlineStr">
        <is>
          <t>B</t>
        </is>
      </c>
      <c r="Z65" s="26" t="inlineStr">
        <is>
          <t>nan</t>
        </is>
      </c>
      <c r="AA65" s="26" t="inlineStr">
        <is>
          <t>Qualified</t>
        </is>
      </c>
      <c r="AB65" s="27" t="inlineStr"/>
      <c r="AC65" s="32" t="inlineStr">
        <is>
          <t>Passed</t>
        </is>
      </c>
      <c r="AD65" s="32" t="inlineStr">
        <is>
          <t>Passed</t>
        </is>
      </c>
    </row>
    <row r="66">
      <c r="A66" s="25" t="inlineStr">
        <is>
          <t>LEAD-0062</t>
        </is>
      </c>
      <c r="B66" s="26" t="inlineStr">
        <is>
          <t>Latasha James</t>
        </is>
      </c>
      <c r="C66" s="26" t="inlineStr">
        <is>
          <t>Lifestyle</t>
        </is>
      </c>
      <c r="D66" s="26" t="inlineStr">
        <is>
          <t>US</t>
        </is>
      </c>
      <c r="E66" s="26" t="inlineStr">
        <is>
          <t>EN</t>
        </is>
      </c>
      <c r="F66" s="26" t="inlineStr">
        <is>
          <t>YouTube</t>
        </is>
      </c>
      <c r="G66" s="26" t="inlineStr">
        <is>
          <t>https://www.youtube.com/channel/UC9aFCPXdF5AtiQd8L62GkSA</t>
        </is>
      </c>
      <c r="H66" s="26" t="inlineStr">
        <is>
          <t>UC9aFCPXdF5AtiQd8L62GkSA</t>
        </is>
      </c>
      <c r="I66" s="26" t="inlineStr">
        <is>
          <t>https://www.youtube.com/channel/UC9aFCPXdF5AtiQd8L62GkSA</t>
        </is>
      </c>
      <c r="J66" s="37" t="n">
        <v>235000</v>
      </c>
      <c r="K66" s="34" t="inlineStr">
        <is>
          <t>2026-09-01</t>
        </is>
      </c>
      <c r="L66" s="26" t="inlineStr">
        <is>
          <t>https://www.youtube.com/channel/UC9aFCPXdF5AtiQd8L62GkSA</t>
        </is>
      </c>
      <c r="M66" s="37" t="n">
        <v>8</v>
      </c>
      <c r="N66" s="37" t="n">
        <v>16</v>
      </c>
      <c r="O66" s="26" t="inlineStr">
        <is>
          <t>Keywords: sponsor</t>
        </is>
      </c>
      <c r="P66" s="26" t="inlineStr">
        <is>
          <t>https://www.youtube.com/channel/UC9aFCPXdF5AtiQd8L62GkSA</t>
        </is>
      </c>
      <c r="Q66" s="26" t="inlineStr">
        <is>
          <t>Signals: high_upload_frequency</t>
        </is>
      </c>
      <c r="R66" s="26" t="inlineStr">
        <is>
          <t>https://www.youtube.com/channel/UC9aFCPXdF5AtiQd8L62GkSA</t>
        </is>
      </c>
      <c r="S66" s="26" t="inlineStr">
        <is>
          <t>email</t>
        </is>
      </c>
      <c r="T66" s="26" t="inlineStr">
        <is>
          <t>hey@latashajames.com</t>
        </is>
      </c>
      <c r="U66" s="26" t="inlineStr">
        <is>
          <t>https://www.youtube.com/channel/UC9aFCPXdF5AtiQd8L62GkSA</t>
        </is>
      </c>
      <c r="V66" s="26" t="inlineStr">
        <is>
          <t>https://www.youtube.com/channel/UC9aFCPXdF5AtiQd8L62GkSA</t>
        </is>
      </c>
      <c r="W66" s="26" t="inlineStr">
        <is>
          <t>https://www.youtube.com/channel/UC9aFCPXdF5AtiQd8L62GkSA</t>
        </is>
      </c>
      <c r="X66" s="34" t="inlineStr">
        <is>
          <t>2026-09-04</t>
        </is>
      </c>
      <c r="Y66" s="26" t="inlineStr">
        <is>
          <t>B</t>
        </is>
      </c>
      <c r="Z66" s="26" t="inlineStr">
        <is>
          <t>nan</t>
        </is>
      </c>
      <c r="AA66" s="26" t="inlineStr">
        <is>
          <t>Qualified</t>
        </is>
      </c>
      <c r="AB66" s="27" t="inlineStr"/>
      <c r="AC66" s="32" t="inlineStr">
        <is>
          <t>Passed</t>
        </is>
      </c>
      <c r="AD66" s="32" t="inlineStr">
        <is>
          <t>Passed</t>
        </is>
      </c>
    </row>
    <row r="67">
      <c r="A67" s="25" t="inlineStr">
        <is>
          <t>LEAD-0063</t>
        </is>
      </c>
      <c r="B67" s="26" t="inlineStr">
        <is>
          <t>UpFlip</t>
        </is>
      </c>
      <c r="C67" s="26" t="inlineStr">
        <is>
          <t>Lifestyle</t>
        </is>
      </c>
      <c r="D67" s="26" t="inlineStr">
        <is>
          <t>US</t>
        </is>
      </c>
      <c r="E67" s="26" t="inlineStr">
        <is>
          <t>EN</t>
        </is>
      </c>
      <c r="F67" s="26" t="inlineStr">
        <is>
          <t>YouTube</t>
        </is>
      </c>
      <c r="G67" s="26" t="inlineStr">
        <is>
          <t>https://www.youtube.com/channel/UChFahjDeMBV67DSXiF5pwBA</t>
        </is>
      </c>
      <c r="H67" s="26" t="inlineStr">
        <is>
          <t>UChFahjDeMBV67DSXiF5pwBA</t>
        </is>
      </c>
      <c r="I67" s="26" t="inlineStr">
        <is>
          <t>https://www.youtube.com/channel/UChFahjDeMBV67DSXiF5pwBA</t>
        </is>
      </c>
      <c r="J67" s="37" t="n">
        <v>1740000</v>
      </c>
      <c r="K67" s="34" t="inlineStr">
        <is>
          <t>2026-09-03</t>
        </is>
      </c>
      <c r="L67" s="26" t="inlineStr">
        <is>
          <t>https://www.youtube.com/channel/UChFahjDeMBV67DSXiF5pwBA</t>
        </is>
      </c>
      <c r="M67" s="37" t="n">
        <v>20</v>
      </c>
      <c r="N67" s="37" t="n">
        <v>40</v>
      </c>
      <c r="O67" s="26" t="inlineStr">
        <is>
          <t>Keywords: sponsor, #ad</t>
        </is>
      </c>
      <c r="P67" s="26" t="inlineStr">
        <is>
          <t>https://www.youtube.com/channel/UChFahjDeMBV67DSXiF5pwBA</t>
        </is>
      </c>
      <c r="Q67" s="26" t="inlineStr">
        <is>
          <t>Signals: high_upload_frequency</t>
        </is>
      </c>
      <c r="R67" s="26" t="inlineStr">
        <is>
          <t>https://www.youtube.com/channel/UChFahjDeMBV67DSXiF5pwBA</t>
        </is>
      </c>
      <c r="S67" s="26" t="inlineStr">
        <is>
          <t>email</t>
        </is>
      </c>
      <c r="T67" s="26" t="inlineStr">
        <is>
          <t>media@upflip.com</t>
        </is>
      </c>
      <c r="U67" s="26" t="inlineStr">
        <is>
          <t>https://www.youtube.com/channel/UChFahjDeMBV67DSXiF5pwBA</t>
        </is>
      </c>
      <c r="V67" s="26" t="inlineStr">
        <is>
          <t>https://www.youtube.com/channel/UChFahjDeMBV67DSXiF5pwBA</t>
        </is>
      </c>
      <c r="W67" s="26" t="inlineStr">
        <is>
          <t>https://www.youtube.com/channel/UChFahjDeMBV67DSXiF5pwBA</t>
        </is>
      </c>
      <c r="X67" s="34" t="inlineStr">
        <is>
          <t>2026-09-04</t>
        </is>
      </c>
      <c r="Y67" s="26" t="inlineStr">
        <is>
          <t>B</t>
        </is>
      </c>
      <c r="Z67" s="26" t="inlineStr">
        <is>
          <t>nan</t>
        </is>
      </c>
      <c r="AA67" s="26" t="inlineStr">
        <is>
          <t>Qualified</t>
        </is>
      </c>
      <c r="AB67" s="27" t="inlineStr"/>
      <c r="AC67" s="32" t="inlineStr">
        <is>
          <t>Passed</t>
        </is>
      </c>
      <c r="AD67" s="32" t="inlineStr">
        <is>
          <t>Passed</t>
        </is>
      </c>
    </row>
    <row r="68">
      <c r="A68" s="25" t="inlineStr">
        <is>
          <t>LEAD-0064</t>
        </is>
      </c>
      <c r="B68" s="26" t="inlineStr">
        <is>
          <t>The Financial Coconut TFC</t>
        </is>
      </c>
      <c r="C68" s="26" t="inlineStr">
        <is>
          <t>Lifestyle</t>
        </is>
      </c>
      <c r="D68" s="26" t="inlineStr">
        <is>
          <t>SG</t>
        </is>
      </c>
      <c r="E68" s="26" t="inlineStr">
        <is>
          <t>EN</t>
        </is>
      </c>
      <c r="F68" s="26" t="inlineStr">
        <is>
          <t>YouTube</t>
        </is>
      </c>
      <c r="G68" s="26" t="inlineStr">
        <is>
          <t>https://www.youtube.com/channel/UCREEmSahtQyTBjJudI6kgmg</t>
        </is>
      </c>
      <c r="H68" s="26" t="inlineStr">
        <is>
          <t>UCREEmSahtQyTBjJudI6kgmg</t>
        </is>
      </c>
      <c r="I68" s="26" t="inlineStr">
        <is>
          <t>https://t.me/thefinancialcoconutpodcast</t>
        </is>
      </c>
      <c r="J68" s="37" t="n">
        <v>44400</v>
      </c>
      <c r="K68" s="34" t="inlineStr">
        <is>
          <t>2026-09-04</t>
        </is>
      </c>
      <c r="L68" s="26" t="inlineStr">
        <is>
          <t>https://www.youtube.com/channel/UCREEmSahtQyTBjJudI6kgmg</t>
        </is>
      </c>
      <c r="M68" s="37" t="n">
        <v>26</v>
      </c>
      <c r="N68" s="37" t="n">
        <v>52</v>
      </c>
      <c r="O68" s="26" t="inlineStr">
        <is>
          <t>Keywords: link in bio</t>
        </is>
      </c>
      <c r="P68" s="26" t="inlineStr">
        <is>
          <t>https://www.youtube.com/channel/UCREEmSahtQyTBjJudI6kgmg</t>
        </is>
      </c>
      <c r="Q68" s="26" t="inlineStr">
        <is>
          <t>Signals: burnout, high_upload_frequency</t>
        </is>
      </c>
      <c r="R68" s="26" t="inlineStr">
        <is>
          <t>https://www.youtube.com/channel/UCREEmSahtQyTBjJudI6kgmg</t>
        </is>
      </c>
      <c r="S68" s="26" t="inlineStr">
        <is>
          <t>website</t>
        </is>
      </c>
      <c r="T68" s="26" t="inlineStr">
        <is>
          <t>nan</t>
        </is>
      </c>
      <c r="U68" s="26" t="inlineStr">
        <is>
          <t>https://t.me/thefinancialcoconutpodcast</t>
        </is>
      </c>
      <c r="V68" s="26" t="inlineStr">
        <is>
          <t>https://www.youtube.com/channel/UCREEmSahtQyTBjJudI6kgmg</t>
        </is>
      </c>
      <c r="W68" s="26" t="inlineStr">
        <is>
          <t>https://www.youtube.com/channel/UCREEmSahtQyTBjJudI6kgmg</t>
        </is>
      </c>
      <c r="X68" s="34" t="inlineStr">
        <is>
          <t>2026-09-04</t>
        </is>
      </c>
      <c r="Y68" s="26" t="inlineStr">
        <is>
          <t>B</t>
        </is>
      </c>
      <c r="Z68" s="26" t="inlineStr">
        <is>
          <t>nan</t>
        </is>
      </c>
      <c r="AA68" s="26" t="inlineStr">
        <is>
          <t>Qualified</t>
        </is>
      </c>
      <c r="AB68" s="27" t="inlineStr"/>
      <c r="AC68" s="32" t="inlineStr">
        <is>
          <t>Passed</t>
        </is>
      </c>
      <c r="AD68" s="32" t="inlineStr">
        <is>
          <t>Passed</t>
        </is>
      </c>
    </row>
    <row r="69">
      <c r="A69" s="25" t="inlineStr">
        <is>
          <t>LEAD-0065</t>
        </is>
      </c>
      <c r="B69" s="26" t="inlineStr">
        <is>
          <t>Minority Mindset</t>
        </is>
      </c>
      <c r="C69" s="26" t="inlineStr">
        <is>
          <t>Finance</t>
        </is>
      </c>
      <c r="D69" s="26" t="inlineStr">
        <is>
          <t>US</t>
        </is>
      </c>
      <c r="E69" s="26" t="inlineStr">
        <is>
          <t>EN</t>
        </is>
      </c>
      <c r="F69" s="26" t="inlineStr">
        <is>
          <t>YouTube</t>
        </is>
      </c>
      <c r="G69" s="26" t="inlineStr">
        <is>
          <t>https://www.youtube.com/channel/UCT3EznhW_CNFcfOlyDNTLLw</t>
        </is>
      </c>
      <c r="H69" s="26" t="inlineStr">
        <is>
          <t>UCT3EznhW_CNFcfOlyDNTLLw</t>
        </is>
      </c>
      <c r="I69" s="26" t="inlineStr">
        <is>
          <t>https://www.briefs.co</t>
        </is>
      </c>
      <c r="J69" s="37" t="n">
        <v>2520000</v>
      </c>
      <c r="K69" s="34" t="inlineStr">
        <is>
          <t>2026-09-04</t>
        </is>
      </c>
      <c r="L69" s="26" t="inlineStr">
        <is>
          <t>https://www.youtube.com/channel/UCT3EznhW_CNFcfOlyDNTLLw</t>
        </is>
      </c>
      <c r="M69" s="37" t="n">
        <v>18</v>
      </c>
      <c r="N69" s="37" t="n">
        <v>36</v>
      </c>
      <c r="O69" s="26" t="inlineStr">
        <is>
          <t>Keywords: sponsor, affiliate, use code</t>
        </is>
      </c>
      <c r="P69" s="26" t="inlineStr">
        <is>
          <t>https://www.youtube.com/channel/UCT3EznhW_CNFcfOlyDNTLLw</t>
        </is>
      </c>
      <c r="Q69" s="26" t="inlineStr">
        <is>
          <t>Signals: high_upload_frequency</t>
        </is>
      </c>
      <c r="R69" s="26" t="inlineStr">
        <is>
          <t>https://www.youtube.com/channel/UCT3EznhW_CNFcfOlyDNTLLw</t>
        </is>
      </c>
      <c r="S69" s="26" t="inlineStr">
        <is>
          <t>website</t>
        </is>
      </c>
      <c r="T69" s="26" t="inlineStr">
        <is>
          <t>nan</t>
        </is>
      </c>
      <c r="U69" s="26" t="inlineStr">
        <is>
          <t>https://www.briefs.co</t>
        </is>
      </c>
      <c r="V69" s="26" t="inlineStr">
        <is>
          <t>https://www.youtube.com/channel/UCT3EznhW_CNFcfOlyDNTLLw</t>
        </is>
      </c>
      <c r="W69" s="26" t="inlineStr">
        <is>
          <t>https://www.youtube.com/channel/UCT3EznhW_CNFcfOlyDNTLLw</t>
        </is>
      </c>
      <c r="X69" s="34" t="inlineStr">
        <is>
          <t>2026-09-04</t>
        </is>
      </c>
      <c r="Y69" s="26" t="inlineStr">
        <is>
          <t>B</t>
        </is>
      </c>
      <c r="Z69" s="26" t="inlineStr">
        <is>
          <t>nan</t>
        </is>
      </c>
      <c r="AA69" s="26" t="inlineStr">
        <is>
          <t>Qualified</t>
        </is>
      </c>
      <c r="AB69" s="27" t="inlineStr"/>
      <c r="AC69" s="32" t="inlineStr">
        <is>
          <t>Passed</t>
        </is>
      </c>
      <c r="AD69" s="32" t="inlineStr">
        <is>
          <t>Passed</t>
        </is>
      </c>
    </row>
    <row r="70">
      <c r="A70" s="25" t="inlineStr">
        <is>
          <t>LEAD-0066</t>
        </is>
      </c>
      <c r="B70" s="26" t="inlineStr">
        <is>
          <t>Dammie tee's - Australia Lifestyle Creator</t>
        </is>
      </c>
      <c r="C70" s="26" t="inlineStr">
        <is>
          <t>Lifestyle</t>
        </is>
      </c>
      <c r="D70" s="26" t="inlineStr">
        <is>
          <t>AU</t>
        </is>
      </c>
      <c r="E70" s="26" t="inlineStr">
        <is>
          <t>EN</t>
        </is>
      </c>
      <c r="F70" s="26" t="inlineStr">
        <is>
          <t>YouTube</t>
        </is>
      </c>
      <c r="G70" s="26" t="inlineStr">
        <is>
          <t>https://www.youtube.com/channel/UC7vs3227Firmck2Bg7giwww</t>
        </is>
      </c>
      <c r="H70" s="26" t="inlineStr">
        <is>
          <t>UC7vs3227Firmck2Bg7giwww</t>
        </is>
      </c>
      <c r="I70" s="26" t="inlineStr">
        <is>
          <t>https://www.youtube.com/channel/UC7vs3227Firmck2Bg7giwww</t>
        </is>
      </c>
      <c r="J70" s="37" t="n">
        <v>12500</v>
      </c>
      <c r="K70" s="34" t="inlineStr">
        <is>
          <t>2026-09-04</t>
        </is>
      </c>
      <c r="L70" s="26" t="inlineStr">
        <is>
          <t>https://www.youtube.com/channel/UC7vs3227Firmck2Bg7giwww</t>
        </is>
      </c>
      <c r="M70" s="37" t="n">
        <v>5</v>
      </c>
      <c r="N70" s="37" t="n">
        <v>10</v>
      </c>
      <c r="O70" s="26" t="inlineStr">
        <is>
          <t>Keywords: collab</t>
        </is>
      </c>
      <c r="P70" s="26" t="inlineStr">
        <is>
          <t>https://www.youtube.com/channel/UC7vs3227Firmck2Bg7giwww</t>
        </is>
      </c>
      <c r="Q70" s="26" t="inlineStr">
        <is>
          <t>Signals: high_upload_frequency</t>
        </is>
      </c>
      <c r="R70" s="26" t="inlineStr">
        <is>
          <t>https://www.youtube.com/channel/UC7vs3227Firmck2Bg7giwww</t>
        </is>
      </c>
      <c r="S70" s="26" t="inlineStr">
        <is>
          <t>email</t>
        </is>
      </c>
      <c r="T70" s="26" t="inlineStr">
        <is>
          <t>dammietees01@gmail.com</t>
        </is>
      </c>
      <c r="U70" s="26" t="inlineStr">
        <is>
          <t>https://www.youtube.com/channel/UC7vs3227Firmck2Bg7giwww</t>
        </is>
      </c>
      <c r="V70" s="26" t="inlineStr">
        <is>
          <t>https://www.youtube.com/channel/UC7vs3227Firmck2Bg7giwww</t>
        </is>
      </c>
      <c r="W70" s="26" t="inlineStr">
        <is>
          <t>https://www.youtube.com/channel/UC7vs3227Firmck2Bg7giwww</t>
        </is>
      </c>
      <c r="X70" s="34" t="inlineStr">
        <is>
          <t>2026-09-04</t>
        </is>
      </c>
      <c r="Y70" s="26" t="inlineStr">
        <is>
          <t>B</t>
        </is>
      </c>
      <c r="Z70" s="26" t="inlineStr">
        <is>
          <t>nan</t>
        </is>
      </c>
      <c r="AA70" s="26" t="inlineStr">
        <is>
          <t>Qualified</t>
        </is>
      </c>
      <c r="AB70" s="27" t="inlineStr"/>
      <c r="AC70" s="32" t="inlineStr">
        <is>
          <t>Passed</t>
        </is>
      </c>
      <c r="AD70" s="32" t="inlineStr">
        <is>
          <t>Passed</t>
        </is>
      </c>
    </row>
    <row r="71">
      <c r="A71" s="25" t="inlineStr">
        <is>
          <t>LEAD-0067</t>
        </is>
      </c>
      <c r="B71" s="26" t="inlineStr">
        <is>
          <t>Dragons' Den</t>
        </is>
      </c>
      <c r="C71" s="26" t="inlineStr">
        <is>
          <t>Finance</t>
        </is>
      </c>
      <c r="D71" s="26" t="inlineStr">
        <is>
          <t>GB</t>
        </is>
      </c>
      <c r="E71" s="26" t="inlineStr">
        <is>
          <t>EN</t>
        </is>
      </c>
      <c r="F71" s="26" t="inlineStr">
        <is>
          <t>YouTube</t>
        </is>
      </c>
      <c r="G71" s="26" t="inlineStr">
        <is>
          <t>https://www.youtube.com/channel/UCDAzmE9V4Xw5CdLkn3pvO3A</t>
        </is>
      </c>
      <c r="H71" s="26" t="inlineStr">
        <is>
          <t>UCDAzmE9V4Xw5CdLkn3pvO3A</t>
        </is>
      </c>
      <c r="I71" s="26" t="inlineStr">
        <is>
          <t>https://www.youtube.com/channel/UCDAzmE9V4Xw5CdLkn3pvO3A</t>
        </is>
      </c>
      <c r="J71" s="37" t="n">
        <v>680000</v>
      </c>
      <c r="K71" s="34" t="inlineStr">
        <is>
          <t>2026-09-03</t>
        </is>
      </c>
      <c r="L71" s="26" t="inlineStr">
        <is>
          <t>https://www.youtube.com/channel/UCDAzmE9V4Xw5CdLkn3pvO3A</t>
        </is>
      </c>
      <c r="M71" s="37" t="n">
        <v>19</v>
      </c>
      <c r="N71" s="37" t="n">
        <v>38</v>
      </c>
      <c r="O71" s="26" t="inlineStr">
        <is>
          <t>Keywords: sponsor, affiliate</t>
        </is>
      </c>
      <c r="P71" s="26" t="inlineStr">
        <is>
          <t>https://www.youtube.com/channel/UCDAzmE9V4Xw5CdLkn3pvO3A</t>
        </is>
      </c>
      <c r="Q71" s="26" t="inlineStr">
        <is>
          <t>Signals: shorts, high_upload_frequency</t>
        </is>
      </c>
      <c r="R71" s="26" t="inlineStr">
        <is>
          <t>https://www.youtube.com/channel/UCDAzmE9V4Xw5CdLkn3pvO3A</t>
        </is>
      </c>
      <c r="S71" s="26" t="inlineStr">
        <is>
          <t>email</t>
        </is>
      </c>
      <c r="T71" s="26" t="inlineStr">
        <is>
          <t>fandomnetworkpartnerships@gmail.com</t>
        </is>
      </c>
      <c r="U71" s="26" t="inlineStr">
        <is>
          <t>https://www.youtube.com/channel/UCDAzmE9V4Xw5CdLkn3pvO3A</t>
        </is>
      </c>
      <c r="V71" s="26" t="inlineStr">
        <is>
          <t>https://www.youtube.com/channel/UCDAzmE9V4Xw5CdLkn3pvO3A</t>
        </is>
      </c>
      <c r="W71" s="26" t="inlineStr">
        <is>
          <t>https://www.youtube.com/channel/UCDAzmE9V4Xw5CdLkn3pvO3A</t>
        </is>
      </c>
      <c r="X71" s="34" t="inlineStr">
        <is>
          <t>2026-09-04</t>
        </is>
      </c>
      <c r="Y71" s="26" t="inlineStr">
        <is>
          <t>B</t>
        </is>
      </c>
      <c r="Z71" s="26" t="inlineStr">
        <is>
          <t>nan</t>
        </is>
      </c>
      <c r="AA71" s="26" t="inlineStr">
        <is>
          <t>Qualified</t>
        </is>
      </c>
      <c r="AB71" s="27" t="inlineStr"/>
      <c r="AC71" s="32" t="inlineStr">
        <is>
          <t>Passed</t>
        </is>
      </c>
      <c r="AD71" s="32" t="inlineStr">
        <is>
          <t>Passed</t>
        </is>
      </c>
    </row>
    <row r="72">
      <c r="A72" s="25" t="inlineStr">
        <is>
          <t>LEAD-0068</t>
        </is>
      </c>
      <c r="B72" s="26" t="inlineStr">
        <is>
          <t>Prepper Princess</t>
        </is>
      </c>
      <c r="C72" s="26" t="inlineStr">
        <is>
          <t>Lifestyle</t>
        </is>
      </c>
      <c r="D72" s="26" t="inlineStr">
        <is>
          <t>US</t>
        </is>
      </c>
      <c r="E72" s="26" t="inlineStr">
        <is>
          <t>EN</t>
        </is>
      </c>
      <c r="F72" s="26" t="inlineStr">
        <is>
          <t>YouTube</t>
        </is>
      </c>
      <c r="G72" s="26" t="inlineStr">
        <is>
          <t>https://www.youtube.com/channel/UCWLJvbNiv5GTOIK1K9o1TMg</t>
        </is>
      </c>
      <c r="H72" s="26" t="inlineStr">
        <is>
          <t>UCWLJvbNiv5GTOIK1K9o1TMg</t>
        </is>
      </c>
      <c r="I72" s="26" t="inlineStr">
        <is>
          <t>https://amzn.to/3wTyedf</t>
        </is>
      </c>
      <c r="J72" s="37" t="n">
        <v>358000</v>
      </c>
      <c r="K72" s="34" t="inlineStr">
        <is>
          <t>2026-09-03</t>
        </is>
      </c>
      <c r="L72" s="26" t="inlineStr">
        <is>
          <t>https://www.youtube.com/channel/UCWLJvbNiv5GTOIK1K9o1TMg</t>
        </is>
      </c>
      <c r="M72" s="37" t="n">
        <v>10</v>
      </c>
      <c r="N72" s="37" t="n">
        <v>20</v>
      </c>
      <c r="O72" s="26" t="inlineStr">
        <is>
          <t>Keywords: affiliate, amazon associate</t>
        </is>
      </c>
      <c r="P72" s="26" t="inlineStr">
        <is>
          <t>https://www.youtube.com/channel/UCWLJvbNiv5GTOIK1K9o1TMg</t>
        </is>
      </c>
      <c r="Q72" s="26" t="inlineStr">
        <is>
          <t>Signals: high_upload_frequency</t>
        </is>
      </c>
      <c r="R72" s="26" t="inlineStr">
        <is>
          <t>https://www.youtube.com/channel/UCWLJvbNiv5GTOIK1K9o1TMg</t>
        </is>
      </c>
      <c r="S72" s="26" t="inlineStr">
        <is>
          <t>website</t>
        </is>
      </c>
      <c r="T72" s="26" t="inlineStr">
        <is>
          <t>nan</t>
        </is>
      </c>
      <c r="U72" s="26" t="inlineStr">
        <is>
          <t>https://amzn.to/3wTyedf</t>
        </is>
      </c>
      <c r="V72" s="26" t="inlineStr">
        <is>
          <t>https://www.youtube.com/channel/UCWLJvbNiv5GTOIK1K9o1TMg</t>
        </is>
      </c>
      <c r="W72" s="26" t="inlineStr">
        <is>
          <t>https://www.youtube.com/channel/UCWLJvbNiv5GTOIK1K9o1TMg</t>
        </is>
      </c>
      <c r="X72" s="34" t="inlineStr">
        <is>
          <t>2026-09-04</t>
        </is>
      </c>
      <c r="Y72" s="26" t="inlineStr">
        <is>
          <t>B</t>
        </is>
      </c>
      <c r="Z72" s="26" t="inlineStr">
        <is>
          <t>nan</t>
        </is>
      </c>
      <c r="AA72" s="26" t="inlineStr">
        <is>
          <t>Qualified</t>
        </is>
      </c>
      <c r="AB72" s="27" t="inlineStr"/>
      <c r="AC72" s="32" t="inlineStr">
        <is>
          <t>Passed</t>
        </is>
      </c>
      <c r="AD72" s="32" t="inlineStr">
        <is>
          <t>Passed</t>
        </is>
      </c>
    </row>
    <row r="73">
      <c r="A73" s="25" t="inlineStr">
        <is>
          <t>LEAD-0069</t>
        </is>
      </c>
      <c r="B73" s="26" t="inlineStr">
        <is>
          <t>Dan Malone</t>
        </is>
      </c>
      <c r="C73" s="26" t="inlineStr">
        <is>
          <t>Lifestyle</t>
        </is>
      </c>
      <c r="D73" s="26" t="inlineStr">
        <is>
          <t>IE</t>
        </is>
      </c>
      <c r="E73" s="26" t="inlineStr">
        <is>
          <t>EN</t>
        </is>
      </c>
      <c r="F73" s="26" t="inlineStr">
        <is>
          <t>YouTube</t>
        </is>
      </c>
      <c r="G73" s="26" t="inlineStr">
        <is>
          <t>https://www.youtube.com/channel/UCszEnWsTCUI2j17Q7mFTU0g</t>
        </is>
      </c>
      <c r="H73" s="26" t="inlineStr">
        <is>
          <t>UCszEnWsTCUI2j17Q7mFTU0g</t>
        </is>
      </c>
      <c r="I73" s="26" t="inlineStr">
        <is>
          <t>https://honest.ie/newsletter/</t>
        </is>
      </c>
      <c r="J73" s="37" t="n">
        <v>24400</v>
      </c>
      <c r="K73" s="34" t="inlineStr">
        <is>
          <t>2026-09-04</t>
        </is>
      </c>
      <c r="L73" s="26" t="inlineStr">
        <is>
          <t>https://www.youtube.com/channel/UCszEnWsTCUI2j17Q7mFTU0g</t>
        </is>
      </c>
      <c r="M73" s="37" t="n">
        <v>1</v>
      </c>
      <c r="N73" s="37" t="n">
        <v>2</v>
      </c>
      <c r="O73" s="26" t="inlineStr">
        <is>
          <t>Established channel: 24,400 subscribers, 357 videos published</t>
        </is>
      </c>
      <c r="P73" s="26" t="inlineStr">
        <is>
          <t>https://www.youtube.com/channel/UCszEnWsTCUI2j17Q7mFTU0g</t>
        </is>
      </c>
      <c r="Q73" s="26" t="inlineStr">
        <is>
          <t>Signals: newsletter</t>
        </is>
      </c>
      <c r="R73" s="26" t="inlineStr">
        <is>
          <t>https://www.youtube.com/channel/UCszEnWsTCUI2j17Q7mFTU0g</t>
        </is>
      </c>
      <c r="S73" s="26" t="inlineStr">
        <is>
          <t>website</t>
        </is>
      </c>
      <c r="T73" s="26" t="inlineStr">
        <is>
          <t>nan</t>
        </is>
      </c>
      <c r="U73" s="26" t="inlineStr">
        <is>
          <t>https://honest.ie/newsletter/</t>
        </is>
      </c>
      <c r="V73" s="26" t="inlineStr">
        <is>
          <t>https://www.youtube.com/channel/UCszEnWsTCUI2j17Q7mFTU0g</t>
        </is>
      </c>
      <c r="W73" s="26" t="inlineStr">
        <is>
          <t>https://www.youtube.com/channel/UCszEnWsTCUI2j17Q7mFTU0g</t>
        </is>
      </c>
      <c r="X73" s="34" t="inlineStr">
        <is>
          <t>2026-09-04</t>
        </is>
      </c>
      <c r="Y73" s="26" t="inlineStr">
        <is>
          <t>B</t>
        </is>
      </c>
      <c r="Z73" s="26" t="inlineStr">
        <is>
          <t>nan</t>
        </is>
      </c>
      <c r="AA73" s="26" t="inlineStr">
        <is>
          <t>Qualified</t>
        </is>
      </c>
      <c r="AB73" s="27" t="inlineStr"/>
      <c r="AC73" s="32" t="inlineStr">
        <is>
          <t>Passed</t>
        </is>
      </c>
      <c r="AD73" s="32" t="inlineStr">
        <is>
          <t>Passed</t>
        </is>
      </c>
    </row>
    <row r="74">
      <c r="A74" s="25" t="inlineStr">
        <is>
          <t>LEAD-0070</t>
        </is>
      </c>
      <c r="B74" s="26" t="inlineStr">
        <is>
          <t>Bloomberg Television</t>
        </is>
      </c>
      <c r="C74" s="26" t="inlineStr">
        <is>
          <t>Tech</t>
        </is>
      </c>
      <c r="D74" s="26" t="inlineStr">
        <is>
          <t>US</t>
        </is>
      </c>
      <c r="E74" s="26" t="inlineStr">
        <is>
          <t>EN</t>
        </is>
      </c>
      <c r="F74" s="26" t="inlineStr">
        <is>
          <t>YouTube</t>
        </is>
      </c>
      <c r="G74" s="26" t="inlineStr">
        <is>
          <t>https://www.youtube.com/channel/UCIALMKvObZNtJ6AmdCLP7Lg</t>
        </is>
      </c>
      <c r="H74" s="26" t="inlineStr">
        <is>
          <t>UCIALMKvObZNtJ6AmdCLP7Lg</t>
        </is>
      </c>
      <c r="I74" s="26" t="inlineStr">
        <is>
          <t>http://www.bloomberg.com</t>
        </is>
      </c>
      <c r="J74" s="37" t="n">
        <v>3260000</v>
      </c>
      <c r="K74" s="34" t="inlineStr">
        <is>
          <t>2026-09-04</t>
        </is>
      </c>
      <c r="L74" s="26" t="inlineStr">
        <is>
          <t>https://www.youtube.com/channel/UCIALMKvObZNtJ6AmdCLP7Lg</t>
        </is>
      </c>
      <c r="M74" s="37" t="n">
        <v>1500</v>
      </c>
      <c r="N74" s="37" t="n">
        <v>3000</v>
      </c>
      <c r="O74" s="26" t="inlineStr">
        <is>
          <t>Established channel: 3,260,000 subscribers, 97228 videos published</t>
        </is>
      </c>
      <c r="P74" s="26" t="inlineStr">
        <is>
          <t>https://www.youtube.com/channel/UCIALMKvObZNtJ6AmdCLP7Lg</t>
        </is>
      </c>
      <c r="Q74" s="26" t="inlineStr">
        <is>
          <t>Signals: high_upload_frequency</t>
        </is>
      </c>
      <c r="R74" s="26" t="inlineStr">
        <is>
          <t>https://www.youtube.com/channel/UCIALMKvObZNtJ6AmdCLP7Lg</t>
        </is>
      </c>
      <c r="S74" s="26" t="inlineStr">
        <is>
          <t>website</t>
        </is>
      </c>
      <c r="T74" s="26" t="inlineStr">
        <is>
          <t>nan</t>
        </is>
      </c>
      <c r="U74" s="26" t="inlineStr">
        <is>
          <t>http://www.bloomberg.com</t>
        </is>
      </c>
      <c r="V74" s="26" t="inlineStr">
        <is>
          <t>https://www.youtube.com/channel/UCIALMKvObZNtJ6AmdCLP7Lg</t>
        </is>
      </c>
      <c r="W74" s="26" t="inlineStr">
        <is>
          <t>https://www.youtube.com/channel/UCIALMKvObZNtJ6AmdCLP7Lg</t>
        </is>
      </c>
      <c r="X74" s="34" t="inlineStr">
        <is>
          <t>2026-09-04</t>
        </is>
      </c>
      <c r="Y74" s="26" t="inlineStr">
        <is>
          <t>B</t>
        </is>
      </c>
      <c r="Z74" s="26" t="inlineStr">
        <is>
          <t>nan</t>
        </is>
      </c>
      <c r="AA74" s="26" t="inlineStr">
        <is>
          <t>Qualified</t>
        </is>
      </c>
      <c r="AB74" s="27" t="inlineStr"/>
      <c r="AC74" s="32" t="inlineStr">
        <is>
          <t>Passed</t>
        </is>
      </c>
      <c r="AD74" s="32" t="inlineStr">
        <is>
          <t>Passed</t>
        </is>
      </c>
    </row>
    <row r="75">
      <c r="A75" s="25" t="inlineStr">
        <is>
          <t>LEAD-0071</t>
        </is>
      </c>
      <c r="B75" s="26" t="inlineStr">
        <is>
          <t>Matterhorn Business Development</t>
        </is>
      </c>
      <c r="C75" s="26" t="inlineStr">
        <is>
          <t>Business</t>
        </is>
      </c>
      <c r="D75" s="26" t="inlineStr">
        <is>
          <t>US</t>
        </is>
      </c>
      <c r="E75" s="26" t="inlineStr">
        <is>
          <t>EN</t>
        </is>
      </c>
      <c r="F75" s="26" t="inlineStr">
        <is>
          <t>YouTube</t>
        </is>
      </c>
      <c r="G75" s="26" t="inlineStr">
        <is>
          <t>https://www.youtube.com/channel/UCNG0ogISHQa6p1INNmY2GFw</t>
        </is>
      </c>
      <c r="H75" s="26" t="inlineStr">
        <is>
          <t>UCNG0ogISHQa6p1INNmY2GFw</t>
        </is>
      </c>
      <c r="I75" s="26" t="inlineStr">
        <is>
          <t>https://matterhornbizdev.lpages.co/more-profit/</t>
        </is>
      </c>
      <c r="J75" s="37" t="n">
        <v>85500</v>
      </c>
      <c r="K75" s="34" t="inlineStr">
        <is>
          <t>2026-09-01</t>
        </is>
      </c>
      <c r="L75" s="26" t="inlineStr">
        <is>
          <t>https://www.youtube.com/channel/UCNG0ogISHQa6p1INNmY2GFw</t>
        </is>
      </c>
      <c r="M75" s="37" t="n">
        <v>4</v>
      </c>
      <c r="N75" s="37" t="n">
        <v>8</v>
      </c>
      <c r="O75" s="26" t="inlineStr">
        <is>
          <t>Keywords: affiliate, merch</t>
        </is>
      </c>
      <c r="P75" s="26" t="inlineStr">
        <is>
          <t>https://www.youtube.com/channel/UCNG0ogISHQa6p1INNmY2GFw</t>
        </is>
      </c>
      <c r="Q75" s="26" t="inlineStr">
        <is>
          <t>Signals: high_upload_frequency, relevant_topic_category</t>
        </is>
      </c>
      <c r="R75" s="26" t="inlineStr">
        <is>
          <t>https://www.youtube.com/channel/UCNG0ogISHQa6p1INNmY2GFw</t>
        </is>
      </c>
      <c r="S75" s="26" t="inlineStr">
        <is>
          <t>website</t>
        </is>
      </c>
      <c r="T75" s="26" t="inlineStr">
        <is>
          <t>nan</t>
        </is>
      </c>
      <c r="U75" s="26" t="inlineStr">
        <is>
          <t>https://matterhornbizdev.lpages.co/more-profit/</t>
        </is>
      </c>
      <c r="V75" s="26" t="inlineStr">
        <is>
          <t>https://www.youtube.com/channel/UCNG0ogISHQa6p1INNmY2GFw</t>
        </is>
      </c>
      <c r="W75" s="26" t="inlineStr">
        <is>
          <t>https://www.youtube.com/channel/UCNG0ogISHQa6p1INNmY2GFw</t>
        </is>
      </c>
      <c r="X75" s="34" t="inlineStr">
        <is>
          <t>2026-09-04</t>
        </is>
      </c>
      <c r="Y75" s="26" t="inlineStr">
        <is>
          <t>B</t>
        </is>
      </c>
      <c r="Z75" s="26" t="inlineStr">
        <is>
          <t>nan</t>
        </is>
      </c>
      <c r="AA75" s="26" t="inlineStr">
        <is>
          <t>Qualified</t>
        </is>
      </c>
      <c r="AB75" s="27" t="inlineStr"/>
      <c r="AC75" s="32" t="inlineStr">
        <is>
          <t>Passed</t>
        </is>
      </c>
      <c r="AD75" s="32" t="inlineStr">
        <is>
          <t>Passed</t>
        </is>
      </c>
    </row>
    <row r="76">
      <c r="A76" s="25" t="inlineStr">
        <is>
          <t>LEAD-0072</t>
        </is>
      </c>
      <c r="B76" s="26" t="inlineStr">
        <is>
          <t xml:space="preserve">Mike Andes </t>
        </is>
      </c>
      <c r="C76" s="26" t="inlineStr">
        <is>
          <t>Lifestyle</t>
        </is>
      </c>
      <c r="D76" s="26" t="inlineStr">
        <is>
          <t>US</t>
        </is>
      </c>
      <c r="E76" s="26" t="inlineStr">
        <is>
          <t>EN</t>
        </is>
      </c>
      <c r="F76" s="26" t="inlineStr">
        <is>
          <t>YouTube</t>
        </is>
      </c>
      <c r="G76" s="26" t="inlineStr">
        <is>
          <t>https://www.youtube.com/channel/UCLB2elyHgxdWZay0zYc9jNA</t>
        </is>
      </c>
      <c r="H76" s="26" t="inlineStr">
        <is>
          <t>UCLB2elyHgxdWZay0zYc9jNA</t>
        </is>
      </c>
      <c r="I76" s="26" t="inlineStr">
        <is>
          <t>https://www.skool.com/boardroom</t>
        </is>
      </c>
      <c r="J76" s="37" t="n">
        <v>247000</v>
      </c>
      <c r="K76" s="34" t="inlineStr">
        <is>
          <t>2026-09-03</t>
        </is>
      </c>
      <c r="L76" s="26" t="inlineStr">
        <is>
          <t>https://www.youtube.com/channel/UCLB2elyHgxdWZay0zYc9jNA</t>
        </is>
      </c>
      <c r="M76" s="37" t="n">
        <v>40</v>
      </c>
      <c r="N76" s="37" t="n">
        <v>80</v>
      </c>
      <c r="O76" s="26" t="inlineStr">
        <is>
          <t>Established channel: 247,000 subscribers, 3089 videos published</t>
        </is>
      </c>
      <c r="P76" s="26" t="inlineStr">
        <is>
          <t>https://www.youtube.com/channel/UCLB2elyHgxdWZay0zYc9jNA</t>
        </is>
      </c>
      <c r="Q76" s="26" t="inlineStr">
        <is>
          <t>Signals: high_upload_frequency</t>
        </is>
      </c>
      <c r="R76" s="26" t="inlineStr">
        <is>
          <t>https://www.youtube.com/channel/UCLB2elyHgxdWZay0zYc9jNA</t>
        </is>
      </c>
      <c r="S76" s="26" t="inlineStr">
        <is>
          <t>website</t>
        </is>
      </c>
      <c r="T76" s="26" t="inlineStr">
        <is>
          <t>nan</t>
        </is>
      </c>
      <c r="U76" s="26" t="inlineStr">
        <is>
          <t>https://www.skool.com/boardroom</t>
        </is>
      </c>
      <c r="V76" s="26" t="inlineStr">
        <is>
          <t>https://www.youtube.com/channel/UCLB2elyHgxdWZay0zYc9jNA</t>
        </is>
      </c>
      <c r="W76" s="26" t="inlineStr">
        <is>
          <t>https://www.youtube.com/channel/UCLB2elyHgxdWZay0zYc9jNA</t>
        </is>
      </c>
      <c r="X76" s="34" t="inlineStr">
        <is>
          <t>2026-09-04</t>
        </is>
      </c>
      <c r="Y76" s="26" t="inlineStr">
        <is>
          <t>B</t>
        </is>
      </c>
      <c r="Z76" s="26" t="inlineStr">
        <is>
          <t>nan</t>
        </is>
      </c>
      <c r="AA76" s="26" t="inlineStr">
        <is>
          <t>Qualified</t>
        </is>
      </c>
      <c r="AB76" s="27" t="inlineStr"/>
      <c r="AC76" s="32" t="inlineStr">
        <is>
          <t>Passed</t>
        </is>
      </c>
      <c r="AD76" s="32" t="inlineStr">
        <is>
          <t>Passed</t>
        </is>
      </c>
    </row>
    <row r="77">
      <c r="A77" s="25" t="inlineStr">
        <is>
          <t>LEAD-0073</t>
        </is>
      </c>
      <c r="B77" s="26" t="inlineStr">
        <is>
          <t>Investing Simplified - Professor G</t>
        </is>
      </c>
      <c r="C77" s="26" t="inlineStr">
        <is>
          <t>Lifestyle</t>
        </is>
      </c>
      <c r="D77" s="26" t="inlineStr">
        <is>
          <t>US</t>
        </is>
      </c>
      <c r="E77" s="26" t="inlineStr">
        <is>
          <t>EN</t>
        </is>
      </c>
      <c r="F77" s="26" t="inlineStr">
        <is>
          <t>YouTube</t>
        </is>
      </c>
      <c r="G77" s="26" t="inlineStr">
        <is>
          <t>https://www.youtube.com/channel/UCr4XXQznhlgfzo4mwOgkF8w</t>
        </is>
      </c>
      <c r="H77" s="26" t="inlineStr">
        <is>
          <t>UCr4XXQznhlgfzo4mwOgkF8w</t>
        </is>
      </c>
      <c r="I77" s="26" t="inlineStr">
        <is>
          <t>https://www.youtube.com/channel/UCr4XXQznhlgfzo4mwOgkF8w</t>
        </is>
      </c>
      <c r="J77" s="37" t="n">
        <v>463000</v>
      </c>
      <c r="K77" s="34" t="inlineStr">
        <is>
          <t>2026-09-02</t>
        </is>
      </c>
      <c r="L77" s="26" t="inlineStr">
        <is>
          <t>https://www.youtube.com/channel/UCr4XXQznhlgfzo4mwOgkF8w</t>
        </is>
      </c>
      <c r="M77" s="37" t="n">
        <v>13</v>
      </c>
      <c r="N77" s="37" t="n">
        <v>26</v>
      </c>
      <c r="O77" s="26" t="inlineStr">
        <is>
          <t>Keywords: sponsor, affiliate, use my link</t>
        </is>
      </c>
      <c r="P77" s="26" t="inlineStr">
        <is>
          <t>https://www.youtube.com/channel/UCr4XXQznhlgfzo4mwOgkF8w</t>
        </is>
      </c>
      <c r="Q77" s="26" t="inlineStr">
        <is>
          <t>Signals: high_upload_frequency</t>
        </is>
      </c>
      <c r="R77" s="26" t="inlineStr">
        <is>
          <t>https://www.youtube.com/channel/UCr4XXQznhlgfzo4mwOgkF8w</t>
        </is>
      </c>
      <c r="S77" s="26" t="inlineStr">
        <is>
          <t>email</t>
        </is>
      </c>
      <c r="T77" s="26" t="inlineStr">
        <is>
          <t>InvestingSimplified@thoughtleaders.io</t>
        </is>
      </c>
      <c r="U77" s="26" t="inlineStr">
        <is>
          <t>https://www.youtube.com/channel/UCr4XXQznhlgfzo4mwOgkF8w</t>
        </is>
      </c>
      <c r="V77" s="26" t="inlineStr">
        <is>
          <t>https://www.youtube.com/channel/UCr4XXQznhlgfzo4mwOgkF8w</t>
        </is>
      </c>
      <c r="W77" s="26" t="inlineStr">
        <is>
          <t>https://www.youtube.com/channel/UCr4XXQznhlgfzo4mwOgkF8w</t>
        </is>
      </c>
      <c r="X77" s="34" t="inlineStr">
        <is>
          <t>2026-09-04</t>
        </is>
      </c>
      <c r="Y77" s="26" t="inlineStr">
        <is>
          <t>B</t>
        </is>
      </c>
      <c r="Z77" s="26" t="inlineStr">
        <is>
          <t>nan</t>
        </is>
      </c>
      <c r="AA77" s="26" t="inlineStr">
        <is>
          <t>Qualified</t>
        </is>
      </c>
      <c r="AB77" s="27" t="inlineStr"/>
      <c r="AC77" s="32" t="inlineStr">
        <is>
          <t>Passed</t>
        </is>
      </c>
      <c r="AD77" s="32" t="inlineStr">
        <is>
          <t>Passed</t>
        </is>
      </c>
    </row>
    <row r="78">
      <c r="A78" s="25" t="inlineStr">
        <is>
          <t>LEAD-0074</t>
        </is>
      </c>
      <c r="B78" s="26" t="inlineStr">
        <is>
          <t>Lateral with Tom Scott</t>
        </is>
      </c>
      <c r="C78" s="26" t="inlineStr">
        <is>
          <t>Tech</t>
        </is>
      </c>
      <c r="D78" s="26" t="inlineStr">
        <is>
          <t>GB</t>
        </is>
      </c>
      <c r="E78" s="26" t="inlineStr">
        <is>
          <t>EN</t>
        </is>
      </c>
      <c r="F78" s="26" t="inlineStr">
        <is>
          <t>YouTube</t>
        </is>
      </c>
      <c r="G78" s="26" t="inlineStr">
        <is>
          <t>https://www.youtube.com/channel/UCHqDTfIX-0DGaHlWvv6JZCw</t>
        </is>
      </c>
      <c r="H78" s="26" t="inlineStr">
        <is>
          <t>UCHqDTfIX-0DGaHlWvv6JZCw</t>
        </is>
      </c>
      <c r="I78" s="26" t="inlineStr">
        <is>
          <t>https://www.lateralcast.com</t>
        </is>
      </c>
      <c r="J78" s="37" t="n">
        <v>154000</v>
      </c>
      <c r="K78" s="34" t="inlineStr">
        <is>
          <t>2026-08-28</t>
        </is>
      </c>
      <c r="L78" s="26" t="inlineStr">
        <is>
          <t>https://www.youtube.com/channel/UCHqDTfIX-0DGaHlWvv6JZCw</t>
        </is>
      </c>
      <c r="M78" s="37" t="n">
        <v>11</v>
      </c>
      <c r="N78" s="37" t="n">
        <v>22</v>
      </c>
      <c r="O78" s="26" t="inlineStr">
        <is>
          <t>Established channel: 154,000 subscribers, 556 videos published</t>
        </is>
      </c>
      <c r="P78" s="26" t="inlineStr">
        <is>
          <t>https://www.youtube.com/channel/UCHqDTfIX-0DGaHlWvv6JZCw</t>
        </is>
      </c>
      <c r="Q78" s="26" t="inlineStr">
        <is>
          <t>Signals: high_upload_frequency</t>
        </is>
      </c>
      <c r="R78" s="26" t="inlineStr">
        <is>
          <t>https://www.youtube.com/channel/UCHqDTfIX-0DGaHlWvv6JZCw</t>
        </is>
      </c>
      <c r="S78" s="26" t="inlineStr">
        <is>
          <t>website</t>
        </is>
      </c>
      <c r="T78" s="26" t="inlineStr">
        <is>
          <t>nan</t>
        </is>
      </c>
      <c r="U78" s="26" t="inlineStr">
        <is>
          <t>https://www.lateralcast.com</t>
        </is>
      </c>
      <c r="V78" s="26" t="inlineStr">
        <is>
          <t>https://www.youtube.com/channel/UCHqDTfIX-0DGaHlWvv6JZCw</t>
        </is>
      </c>
      <c r="W78" s="26" t="inlineStr">
        <is>
          <t>https://www.youtube.com/channel/UCHqDTfIX-0DGaHlWvv6JZCw</t>
        </is>
      </c>
      <c r="X78" s="34" t="inlineStr">
        <is>
          <t>2026-09-04</t>
        </is>
      </c>
      <c r="Y78" s="26" t="inlineStr">
        <is>
          <t>B</t>
        </is>
      </c>
      <c r="Z78" s="26" t="inlineStr">
        <is>
          <t>nan</t>
        </is>
      </c>
      <c r="AA78" s="26" t="inlineStr">
        <is>
          <t>Qualified</t>
        </is>
      </c>
      <c r="AB78" s="27" t="inlineStr"/>
      <c r="AC78" s="32" t="inlineStr">
        <is>
          <t>Passed</t>
        </is>
      </c>
      <c r="AD78" s="32" t="inlineStr">
        <is>
          <t>Passed</t>
        </is>
      </c>
    </row>
    <row r="79">
      <c r="A79" s="25" t="inlineStr">
        <is>
          <t>LEAD-0075</t>
        </is>
      </c>
      <c r="B79" s="26" t="inlineStr">
        <is>
          <t>Two Guys Take on Real Estate</t>
        </is>
      </c>
      <c r="C79" s="26" t="inlineStr">
        <is>
          <t>Lifestyle</t>
        </is>
      </c>
      <c r="D79" s="26" t="inlineStr">
        <is>
          <t>US</t>
        </is>
      </c>
      <c r="E79" s="26" t="inlineStr">
        <is>
          <t>EN</t>
        </is>
      </c>
      <c r="F79" s="26" t="inlineStr">
        <is>
          <t>YouTube</t>
        </is>
      </c>
      <c r="G79" s="26" t="inlineStr">
        <is>
          <t>https://www.youtube.com/channel/UCW4WuiXR7U91g1nyLjsTSkQ</t>
        </is>
      </c>
      <c r="H79" s="26" t="inlineStr">
        <is>
          <t>UCW4WuiXR7U91g1nyLjsTSkQ</t>
        </is>
      </c>
      <c r="I79" s="26" t="inlineStr">
        <is>
          <t>https://www.youtube.com/channel/UCW4WuiXR7U91g1nyLjsTSkQ</t>
        </is>
      </c>
      <c r="J79" s="37" t="n">
        <v>133000</v>
      </c>
      <c r="K79" s="34" t="inlineStr">
        <is>
          <t>2026-09-03</t>
        </is>
      </c>
      <c r="L79" s="26" t="inlineStr">
        <is>
          <t>https://www.youtube.com/channel/UCW4WuiXR7U91g1nyLjsTSkQ</t>
        </is>
      </c>
      <c r="M79" s="37" t="n">
        <v>30</v>
      </c>
      <c r="N79" s="37" t="n">
        <v>60</v>
      </c>
      <c r="O79" s="26" t="inlineStr">
        <is>
          <t>Established channel: 133,000 subscribers, 1827 videos published</t>
        </is>
      </c>
      <c r="P79" s="26" t="inlineStr">
        <is>
          <t>https://www.youtube.com/channel/UCW4WuiXR7U91g1nyLjsTSkQ</t>
        </is>
      </c>
      <c r="Q79" s="26" t="inlineStr">
        <is>
          <t>Signals: high_upload_frequency</t>
        </is>
      </c>
      <c r="R79" s="26" t="inlineStr">
        <is>
          <t>https://www.youtube.com/channel/UCW4WuiXR7U91g1nyLjsTSkQ</t>
        </is>
      </c>
      <c r="S79" s="26" t="inlineStr">
        <is>
          <t>email</t>
        </is>
      </c>
      <c r="T79" s="26" t="inlineStr">
        <is>
          <t>matthew@yellowbrick.org</t>
        </is>
      </c>
      <c r="U79" s="26" t="inlineStr">
        <is>
          <t>https://www.youtube.com/channel/UCW4WuiXR7U91g1nyLjsTSkQ</t>
        </is>
      </c>
      <c r="V79" s="26" t="inlineStr">
        <is>
          <t>https://www.youtube.com/channel/UCW4WuiXR7U91g1nyLjsTSkQ</t>
        </is>
      </c>
      <c r="W79" s="26" t="inlineStr">
        <is>
          <t>https://www.youtube.com/channel/UCW4WuiXR7U91g1nyLjsTSkQ</t>
        </is>
      </c>
      <c r="X79" s="34" t="inlineStr">
        <is>
          <t>2026-09-04</t>
        </is>
      </c>
      <c r="Y79" s="26" t="inlineStr">
        <is>
          <t>B</t>
        </is>
      </c>
      <c r="Z79" s="26" t="inlineStr">
        <is>
          <t>nan</t>
        </is>
      </c>
      <c r="AA79" s="26" t="inlineStr">
        <is>
          <t>Qualified</t>
        </is>
      </c>
      <c r="AB79" s="27" t="inlineStr"/>
      <c r="AC79" s="32" t="inlineStr">
        <is>
          <t>Passed</t>
        </is>
      </c>
      <c r="AD79" s="32" t="inlineStr">
        <is>
          <t>Passed</t>
        </is>
      </c>
    </row>
    <row r="80">
      <c r="A80" s="25" t="inlineStr">
        <is>
          <t>LEAD-0076</t>
        </is>
      </c>
      <c r="B80" s="26" t="inlineStr">
        <is>
          <t>Brian Grimes</t>
        </is>
      </c>
      <c r="C80" s="26" t="inlineStr">
        <is>
          <t>Finance</t>
        </is>
      </c>
      <c r="D80" s="26" t="inlineStr">
        <is>
          <t>US</t>
        </is>
      </c>
      <c r="E80" s="26" t="inlineStr">
        <is>
          <t>EN</t>
        </is>
      </c>
      <c r="F80" s="26" t="inlineStr">
        <is>
          <t>YouTube</t>
        </is>
      </c>
      <c r="G80" s="26" t="inlineStr">
        <is>
          <t>https://www.youtube.com/channel/UCTYE7wOTs5VMHGdHnfLcWyw</t>
        </is>
      </c>
      <c r="H80" s="26" t="inlineStr">
        <is>
          <t>UCTYE7wOTs5VMHGdHnfLcWyw</t>
        </is>
      </c>
      <c r="I80" s="26" t="inlineStr">
        <is>
          <t>https://www.247cashflowtraining.com/university</t>
        </is>
      </c>
      <c r="J80" s="37" t="n">
        <v>80800</v>
      </c>
      <c r="K80" s="34" t="inlineStr">
        <is>
          <t>2026-09-02</t>
        </is>
      </c>
      <c r="L80" s="26" t="inlineStr">
        <is>
          <t>https://www.youtube.com/channel/UCTYE7wOTs5VMHGdHnfLcWyw</t>
        </is>
      </c>
      <c r="M80" s="37" t="n">
        <v>28</v>
      </c>
      <c r="N80" s="37" t="n">
        <v>56</v>
      </c>
      <c r="O80" s="26" t="inlineStr">
        <is>
          <t>Keywords: buy my</t>
        </is>
      </c>
      <c r="P80" s="26" t="inlineStr">
        <is>
          <t>https://www.youtube.com/channel/UCTYE7wOTs5VMHGdHnfLcWyw</t>
        </is>
      </c>
      <c r="Q80" s="26" t="inlineStr">
        <is>
          <t>Signals: high_upload_frequency</t>
        </is>
      </c>
      <c r="R80" s="26" t="inlineStr">
        <is>
          <t>https://www.youtube.com/channel/UCTYE7wOTs5VMHGdHnfLcWyw</t>
        </is>
      </c>
      <c r="S80" s="26" t="inlineStr">
        <is>
          <t>website</t>
        </is>
      </c>
      <c r="T80" s="26" t="inlineStr">
        <is>
          <t>nan</t>
        </is>
      </c>
      <c r="U80" s="26" t="inlineStr">
        <is>
          <t>https://www.247cashflowtraining.com/university</t>
        </is>
      </c>
      <c r="V80" s="26" t="inlineStr">
        <is>
          <t>https://www.youtube.com/channel/UCTYE7wOTs5VMHGdHnfLcWyw</t>
        </is>
      </c>
      <c r="W80" s="26" t="inlineStr">
        <is>
          <t>https://www.youtube.com/channel/UCTYE7wOTs5VMHGdHnfLcWyw</t>
        </is>
      </c>
      <c r="X80" s="34" t="inlineStr">
        <is>
          <t>2026-09-04</t>
        </is>
      </c>
      <c r="Y80" s="26" t="inlineStr">
        <is>
          <t>B</t>
        </is>
      </c>
      <c r="Z80" s="26" t="inlineStr">
        <is>
          <t>nan</t>
        </is>
      </c>
      <c r="AA80" s="26" t="inlineStr">
        <is>
          <t>Qualified</t>
        </is>
      </c>
      <c r="AB80" s="27" t="inlineStr"/>
      <c r="AC80" s="32" t="inlineStr">
        <is>
          <t>Passed</t>
        </is>
      </c>
      <c r="AD80" s="32" t="inlineStr">
        <is>
          <t>Passed</t>
        </is>
      </c>
    </row>
    <row r="81">
      <c r="A81" s="25" t="inlineStr">
        <is>
          <t>LEAD-0077</t>
        </is>
      </c>
      <c r="B81" s="26" t="inlineStr">
        <is>
          <t>Tam Kaur</t>
        </is>
      </c>
      <c r="C81" s="26" t="inlineStr">
        <is>
          <t>Lifestyle</t>
        </is>
      </c>
      <c r="D81" s="26" t="inlineStr">
        <is>
          <t>GB</t>
        </is>
      </c>
      <c r="E81" s="26" t="inlineStr">
        <is>
          <t>EN</t>
        </is>
      </c>
      <c r="F81" s="26" t="inlineStr">
        <is>
          <t>YouTube</t>
        </is>
      </c>
      <c r="G81" s="26" t="inlineStr">
        <is>
          <t>https://www.youtube.com/channel/UCBnHZUkOqg73h7gWiIu0ITA</t>
        </is>
      </c>
      <c r="H81" s="26" t="inlineStr">
        <is>
          <t>UCBnHZUkOqg73h7gWiIu0ITA</t>
        </is>
      </c>
      <c r="I81" s="26" t="inlineStr">
        <is>
          <t>https://www.youtube.com/channel/UCBnHZUkOqg73h7gWiIu0ITA</t>
        </is>
      </c>
      <c r="J81" s="37" t="n">
        <v>1880000</v>
      </c>
      <c r="K81" s="34" t="inlineStr">
        <is>
          <t>2026-09-02</t>
        </is>
      </c>
      <c r="L81" s="26" t="inlineStr">
        <is>
          <t>https://www.youtube.com/channel/UCBnHZUkOqg73h7gWiIu0ITA</t>
        </is>
      </c>
      <c r="M81" s="37" t="n">
        <v>13</v>
      </c>
      <c r="N81" s="37" t="n">
        <v>26</v>
      </c>
      <c r="O81" s="26" t="inlineStr">
        <is>
          <t>Keywords: my product</t>
        </is>
      </c>
      <c r="P81" s="26" t="inlineStr">
        <is>
          <t>https://www.youtube.com/channel/UCBnHZUkOqg73h7gWiIu0ITA</t>
        </is>
      </c>
      <c r="Q81" s="26" t="inlineStr">
        <is>
          <t>Signals: high_upload_frequency</t>
        </is>
      </c>
      <c r="R81" s="26" t="inlineStr">
        <is>
          <t>https://www.youtube.com/channel/UCBnHZUkOqg73h7gWiIu0ITA</t>
        </is>
      </c>
      <c r="S81" s="26" t="inlineStr">
        <is>
          <t>email</t>
        </is>
      </c>
      <c r="T81" s="26" t="inlineStr">
        <is>
          <t>tam@mvetalent.com</t>
        </is>
      </c>
      <c r="U81" s="26" t="inlineStr">
        <is>
          <t>https://www.youtube.com/channel/UCBnHZUkOqg73h7gWiIu0ITA</t>
        </is>
      </c>
      <c r="V81" s="26" t="inlineStr">
        <is>
          <t>https://www.youtube.com/channel/UCBnHZUkOqg73h7gWiIu0ITA</t>
        </is>
      </c>
      <c r="W81" s="26" t="inlineStr">
        <is>
          <t>https://www.youtube.com/channel/UCBnHZUkOqg73h7gWiIu0ITA</t>
        </is>
      </c>
      <c r="X81" s="34" t="inlineStr">
        <is>
          <t>2026-09-04</t>
        </is>
      </c>
      <c r="Y81" s="26" t="inlineStr">
        <is>
          <t>B</t>
        </is>
      </c>
      <c r="Z81" s="26" t="inlineStr">
        <is>
          <t>nan</t>
        </is>
      </c>
      <c r="AA81" s="26" t="inlineStr">
        <is>
          <t>Qualified</t>
        </is>
      </c>
      <c r="AB81" s="27" t="inlineStr"/>
      <c r="AC81" s="32" t="inlineStr">
        <is>
          <t>Passed</t>
        </is>
      </c>
      <c r="AD81" s="32" t="inlineStr">
        <is>
          <t>Passed</t>
        </is>
      </c>
    </row>
    <row r="82">
      <c r="A82" s="25" t="inlineStr">
        <is>
          <t>LEAD-0078</t>
        </is>
      </c>
      <c r="B82" s="26" t="inlineStr">
        <is>
          <t>Canadian Bitcoiners</t>
        </is>
      </c>
      <c r="C82" s="26" t="inlineStr">
        <is>
          <t>Tech</t>
        </is>
      </c>
      <c r="D82" s="26" t="inlineStr">
        <is>
          <t>CA</t>
        </is>
      </c>
      <c r="E82" s="26" t="inlineStr">
        <is>
          <t>EN</t>
        </is>
      </c>
      <c r="F82" s="26" t="inlineStr">
        <is>
          <t>YouTube</t>
        </is>
      </c>
      <c r="G82" s="26" t="inlineStr">
        <is>
          <t>https://www.youtube.com/channel/UCadnTZhZsFzAwxPRk4Wg8Xg</t>
        </is>
      </c>
      <c r="H82" s="26" t="inlineStr">
        <is>
          <t>UCadnTZhZsFzAwxPRk4Wg8Xg</t>
        </is>
      </c>
      <c r="I82" s="26" t="inlineStr">
        <is>
          <t>https://twitter.com/CBPMediaNetwork</t>
        </is>
      </c>
      <c r="J82" s="37" t="n">
        <v>4650</v>
      </c>
      <c r="K82" s="34" t="inlineStr">
        <is>
          <t>2026-09-04</t>
        </is>
      </c>
      <c r="L82" s="26" t="inlineStr">
        <is>
          <t>https://www.youtube.com/channel/UCadnTZhZsFzAwxPRk4Wg8Xg</t>
        </is>
      </c>
      <c r="M82" s="37" t="n">
        <v>187</v>
      </c>
      <c r="N82" s="37" t="n">
        <v>374</v>
      </c>
      <c r="O82" s="26" t="inlineStr">
        <is>
          <t>Keywords: sponsored by, sponsor</t>
        </is>
      </c>
      <c r="P82" s="26" t="inlineStr">
        <is>
          <t>https://www.youtube.com/channel/UCadnTZhZsFzAwxPRk4Wg8Xg</t>
        </is>
      </c>
      <c r="Q82" s="26" t="inlineStr">
        <is>
          <t>Signals: shorts, high_upload_frequency</t>
        </is>
      </c>
      <c r="R82" s="26" t="inlineStr">
        <is>
          <t>https://www.youtube.com/channel/UCadnTZhZsFzAwxPRk4Wg8Xg</t>
        </is>
      </c>
      <c r="S82" s="26" t="inlineStr">
        <is>
          <t>website</t>
        </is>
      </c>
      <c r="T82" s="26" t="inlineStr">
        <is>
          <t>nan</t>
        </is>
      </c>
      <c r="U82" s="26" t="inlineStr">
        <is>
          <t>https://twitter.com/CBPMediaNetwork</t>
        </is>
      </c>
      <c r="V82" s="26" t="inlineStr">
        <is>
          <t>https://www.youtube.com/channel/UCadnTZhZsFzAwxPRk4Wg8Xg</t>
        </is>
      </c>
      <c r="W82" s="26" t="inlineStr">
        <is>
          <t>https://www.youtube.com/channel/UCadnTZhZsFzAwxPRk4Wg8Xg</t>
        </is>
      </c>
      <c r="X82" s="34" t="inlineStr">
        <is>
          <t>2026-09-04</t>
        </is>
      </c>
      <c r="Y82" s="26" t="inlineStr">
        <is>
          <t>B</t>
        </is>
      </c>
      <c r="Z82" s="26" t="inlineStr">
        <is>
          <t>nan</t>
        </is>
      </c>
      <c r="AA82" s="26" t="inlineStr">
        <is>
          <t>Qualified</t>
        </is>
      </c>
      <c r="AB82" s="27" t="inlineStr"/>
      <c r="AC82" s="32" t="inlineStr">
        <is>
          <t>Passed</t>
        </is>
      </c>
      <c r="AD82" s="32" t="inlineStr">
        <is>
          <t>Passed</t>
        </is>
      </c>
    </row>
    <row r="83">
      <c r="A83" s="25" t="inlineStr">
        <is>
          <t>LEAD-0079</t>
        </is>
      </c>
      <c r="B83" s="26" t="inlineStr">
        <is>
          <t>Adam Erhart</t>
        </is>
      </c>
      <c r="C83" s="26" t="inlineStr">
        <is>
          <t>Business</t>
        </is>
      </c>
      <c r="D83" s="26" t="inlineStr">
        <is>
          <t>US</t>
        </is>
      </c>
      <c r="E83" s="26" t="inlineStr">
        <is>
          <t>EN</t>
        </is>
      </c>
      <c r="F83" s="26" t="inlineStr">
        <is>
          <t>YouTube</t>
        </is>
      </c>
      <c r="G83" s="26" t="inlineStr">
        <is>
          <t>https://www.youtube.com/channel/UCKU0u3VbuYn0wD3CUr-Yn6A</t>
        </is>
      </c>
      <c r="H83" s="26" t="inlineStr">
        <is>
          <t>UCKU0u3VbuYn0wD3CUr-Yn6A</t>
        </is>
      </c>
      <c r="I83" s="26" t="inlineStr">
        <is>
          <t>https://adamerhart.co/4fzwCfK</t>
        </is>
      </c>
      <c r="J83" s="37" t="n">
        <v>721000</v>
      </c>
      <c r="K83" s="34" t="inlineStr">
        <is>
          <t>2026-09-03</t>
        </is>
      </c>
      <c r="L83" s="26" t="inlineStr">
        <is>
          <t>https://www.youtube.com/channel/UCKU0u3VbuYn0wD3CUr-Yn6A</t>
        </is>
      </c>
      <c r="M83" s="37" t="n">
        <v>53</v>
      </c>
      <c r="N83" s="37" t="n">
        <v>106</v>
      </c>
      <c r="O83" s="26" t="inlineStr">
        <is>
          <t>Keywords: use my link</t>
        </is>
      </c>
      <c r="P83" s="26" t="inlineStr">
        <is>
          <t>https://www.youtube.com/channel/UCKU0u3VbuYn0wD3CUr-Yn6A</t>
        </is>
      </c>
      <c r="Q83" s="26" t="inlineStr">
        <is>
          <t>Signals: post more, high_upload_frequency, relevant_topic_category</t>
        </is>
      </c>
      <c r="R83" s="26" t="inlineStr">
        <is>
          <t>https://www.youtube.com/channel/UCKU0u3VbuYn0wD3CUr-Yn6A</t>
        </is>
      </c>
      <c r="S83" s="26" t="inlineStr">
        <is>
          <t>website</t>
        </is>
      </c>
      <c r="T83" s="26" t="inlineStr">
        <is>
          <t>nan</t>
        </is>
      </c>
      <c r="U83" s="26" t="inlineStr">
        <is>
          <t>https://adamerhart.co/4fzwCfK</t>
        </is>
      </c>
      <c r="V83" s="26" t="inlineStr">
        <is>
          <t>https://www.youtube.com/channel/UCKU0u3VbuYn0wD3CUr-Yn6A</t>
        </is>
      </c>
      <c r="W83" s="26" t="inlineStr">
        <is>
          <t>https://www.youtube.com/channel/UCKU0u3VbuYn0wD3CUr-Yn6A</t>
        </is>
      </c>
      <c r="X83" s="34" t="inlineStr">
        <is>
          <t>2026-09-04</t>
        </is>
      </c>
      <c r="Y83" s="26" t="inlineStr">
        <is>
          <t>B</t>
        </is>
      </c>
      <c r="Z83" s="26" t="inlineStr">
        <is>
          <t>nan</t>
        </is>
      </c>
      <c r="AA83" s="26" t="inlineStr">
        <is>
          <t>Qualified</t>
        </is>
      </c>
      <c r="AB83" s="27" t="inlineStr"/>
      <c r="AC83" s="32" t="inlineStr">
        <is>
          <t>Passed</t>
        </is>
      </c>
      <c r="AD83" s="32" t="inlineStr">
        <is>
          <t>Passed</t>
        </is>
      </c>
    </row>
    <row r="84">
      <c r="A84" s="25" t="inlineStr">
        <is>
          <t>LEAD-0080</t>
        </is>
      </c>
      <c r="B84" s="26" t="inlineStr">
        <is>
          <t>Coach Sofia</t>
        </is>
      </c>
      <c r="C84" s="26" t="inlineStr">
        <is>
          <t>Fitness</t>
        </is>
      </c>
      <c r="D84" s="26" t="inlineStr">
        <is>
          <t>CA</t>
        </is>
      </c>
      <c r="E84" s="26" t="inlineStr">
        <is>
          <t>EN</t>
        </is>
      </c>
      <c r="F84" s="26" t="inlineStr">
        <is>
          <t>YouTube</t>
        </is>
      </c>
      <c r="G84" s="26" t="inlineStr">
        <is>
          <t>https://www.youtube.com/channel/UCs9M18JnYjiCIKEZ3FUQj5g</t>
        </is>
      </c>
      <c r="H84" s="26" t="inlineStr">
        <is>
          <t>UCs9M18JnYjiCIKEZ3FUQj5g</t>
        </is>
      </c>
      <c r="I84" s="26" t="inlineStr">
        <is>
          <t>https://www.coachsofiafitness.com/</t>
        </is>
      </c>
      <c r="J84" s="37" t="n">
        <v>41100</v>
      </c>
      <c r="K84" s="34" t="inlineStr">
        <is>
          <t>2026-08-30</t>
        </is>
      </c>
      <c r="L84" s="26" t="inlineStr">
        <is>
          <t>https://www.youtube.com/channel/UCs9M18JnYjiCIKEZ3FUQj5g</t>
        </is>
      </c>
      <c r="M84" s="37" t="n">
        <v>24</v>
      </c>
      <c r="N84" s="37" t="n">
        <v>48</v>
      </c>
      <c r="O84" s="26" t="inlineStr">
        <is>
          <t>Established channel: 41,100 subscribers, 557 videos published</t>
        </is>
      </c>
      <c r="P84" s="26" t="inlineStr">
        <is>
          <t>https://www.youtube.com/channel/UCs9M18JnYjiCIKEZ3FUQj5g</t>
        </is>
      </c>
      <c r="Q84" s="26" t="inlineStr">
        <is>
          <t>Signals: high_upload_frequency</t>
        </is>
      </c>
      <c r="R84" s="26" t="inlineStr">
        <is>
          <t>https://www.youtube.com/channel/UCs9M18JnYjiCIKEZ3FUQj5g</t>
        </is>
      </c>
      <c r="S84" s="26" t="inlineStr">
        <is>
          <t>website</t>
        </is>
      </c>
      <c r="T84" s="26" t="inlineStr">
        <is>
          <t>nan</t>
        </is>
      </c>
      <c r="U84" s="26" t="inlineStr">
        <is>
          <t>https://www.coachsofiafitness.com/</t>
        </is>
      </c>
      <c r="V84" s="26" t="inlineStr">
        <is>
          <t>https://www.youtube.com/channel/UCs9M18JnYjiCIKEZ3FUQj5g</t>
        </is>
      </c>
      <c r="W84" s="26" t="inlineStr">
        <is>
          <t>https://www.youtube.com/channel/UCs9M18JnYjiCIKEZ3FUQj5g</t>
        </is>
      </c>
      <c r="X84" s="34" t="inlineStr">
        <is>
          <t>2026-09-04</t>
        </is>
      </c>
      <c r="Y84" s="26" t="inlineStr">
        <is>
          <t>B</t>
        </is>
      </c>
      <c r="Z84" s="26" t="inlineStr">
        <is>
          <t>nan</t>
        </is>
      </c>
      <c r="AA84" s="26" t="inlineStr">
        <is>
          <t>Qualified</t>
        </is>
      </c>
      <c r="AB84" s="27" t="inlineStr"/>
      <c r="AC84" s="32" t="inlineStr">
        <is>
          <t>Passed</t>
        </is>
      </c>
      <c r="AD84" s="32" t="inlineStr">
        <is>
          <t>Passed</t>
        </is>
      </c>
    </row>
    <row r="85">
      <c r="A85" s="25" t="inlineStr">
        <is>
          <t>LEAD-0081</t>
        </is>
      </c>
      <c r="B85" s="26" t="inlineStr">
        <is>
          <t>Fireship</t>
        </is>
      </c>
      <c r="C85" s="26" t="inlineStr">
        <is>
          <t>Tech</t>
        </is>
      </c>
      <c r="D85" s="26" t="inlineStr">
        <is>
          <t>US</t>
        </is>
      </c>
      <c r="E85" s="26" t="inlineStr">
        <is>
          <t>EN</t>
        </is>
      </c>
      <c r="F85" s="26" t="inlineStr">
        <is>
          <t>YouTube</t>
        </is>
      </c>
      <c r="G85" s="26" t="inlineStr">
        <is>
          <t>https://www.youtube.com/channel/UCsBjURrPoezykLs9EqgamOA</t>
        </is>
      </c>
      <c r="H85" s="26" t="inlineStr">
        <is>
          <t>UCsBjURrPoezykLs9EqgamOA</t>
        </is>
      </c>
      <c r="I85" s="26" t="inlineStr">
        <is>
          <t>https://bytes.dev</t>
        </is>
      </c>
      <c r="J85" s="37" t="n">
        <v>4260000</v>
      </c>
      <c r="K85" s="34" t="inlineStr">
        <is>
          <t>2026-09-02</t>
        </is>
      </c>
      <c r="L85" s="26" t="inlineStr">
        <is>
          <t>https://www.youtube.com/channel/UCsBjURrPoezykLs9EqgamOA</t>
        </is>
      </c>
      <c r="M85" s="37" t="n">
        <v>7</v>
      </c>
      <c r="N85" s="37" t="n">
        <v>14</v>
      </c>
      <c r="O85" s="26" t="inlineStr">
        <is>
          <t>Keywords: sponsor</t>
        </is>
      </c>
      <c r="P85" s="26" t="inlineStr">
        <is>
          <t>https://www.youtube.com/channel/UCsBjURrPoezykLs9EqgamOA</t>
        </is>
      </c>
      <c r="Q85" s="26" t="inlineStr">
        <is>
          <t>Signals: newsletter, high_upload_frequency, relevant_topic_category</t>
        </is>
      </c>
      <c r="R85" s="26" t="inlineStr">
        <is>
          <t>https://www.youtube.com/channel/UCsBjURrPoezykLs9EqgamOA</t>
        </is>
      </c>
      <c r="S85" s="26" t="inlineStr">
        <is>
          <t>website</t>
        </is>
      </c>
      <c r="T85" s="26" t="inlineStr">
        <is>
          <t>nan</t>
        </is>
      </c>
      <c r="U85" s="26" t="inlineStr">
        <is>
          <t>https://bytes.dev</t>
        </is>
      </c>
      <c r="V85" s="26" t="inlineStr">
        <is>
          <t>https://www.youtube.com/channel/UCsBjURrPoezykLs9EqgamOA</t>
        </is>
      </c>
      <c r="W85" s="26" t="inlineStr">
        <is>
          <t>https://www.youtube.com/channel/UCsBjURrPoezykLs9EqgamOA</t>
        </is>
      </c>
      <c r="X85" s="34" t="inlineStr">
        <is>
          <t>2026-09-04</t>
        </is>
      </c>
      <c r="Y85" s="26" t="inlineStr">
        <is>
          <t>A</t>
        </is>
      </c>
      <c r="Z85" s="26" t="inlineStr">
        <is>
          <t>nan</t>
        </is>
      </c>
      <c r="AA85" s="26" t="inlineStr">
        <is>
          <t>Qualified</t>
        </is>
      </c>
      <c r="AB85" s="27" t="inlineStr"/>
      <c r="AC85" s="32" t="inlineStr">
        <is>
          <t>Passed</t>
        </is>
      </c>
      <c r="AD85" s="32" t="inlineStr">
        <is>
          <t>Passed</t>
        </is>
      </c>
    </row>
    <row r="86">
      <c r="A86" s="25" t="inlineStr">
        <is>
          <t>LEAD-0082</t>
        </is>
      </c>
      <c r="B86" s="26" t="inlineStr">
        <is>
          <t>Muhammad Furqan Bhatti</t>
        </is>
      </c>
      <c r="C86" s="26" t="inlineStr">
        <is>
          <t>Fitness</t>
        </is>
      </c>
      <c r="D86" s="26" t="inlineStr">
        <is>
          <t>US</t>
        </is>
      </c>
      <c r="E86" s="26" t="inlineStr">
        <is>
          <t>EN</t>
        </is>
      </c>
      <c r="F86" s="26" t="inlineStr">
        <is>
          <t>YouTube</t>
        </is>
      </c>
      <c r="G86" s="26" t="inlineStr">
        <is>
          <t>https://www.youtube.com/channel/UC1uhZwkCaCNPTktX-jwAlow</t>
        </is>
      </c>
      <c r="H86" s="26" t="inlineStr">
        <is>
          <t>UC1uhZwkCaCNPTktX-jwAlow</t>
        </is>
      </c>
      <c r="I86" s="26" t="inlineStr">
        <is>
          <t>https://www.youtube.com/channel/UC1uhZwkCaCNPTktX-jwAlow</t>
        </is>
      </c>
      <c r="J86" s="37" t="n">
        <v>561000</v>
      </c>
      <c r="K86" s="34" t="inlineStr">
        <is>
          <t>2026-09-03</t>
        </is>
      </c>
      <c r="L86" s="26" t="inlineStr">
        <is>
          <t>https://www.youtube.com/channel/UC1uhZwkCaCNPTktX-jwAlow</t>
        </is>
      </c>
      <c r="M86" s="37" t="n">
        <v>32</v>
      </c>
      <c r="N86" s="37" t="n">
        <v>64</v>
      </c>
      <c r="O86" s="26" t="inlineStr">
        <is>
          <t>Established channel: 561,000 subscribers, 1149 videos published</t>
        </is>
      </c>
      <c r="P86" s="26" t="inlineStr">
        <is>
          <t>https://www.youtube.com/channel/UC1uhZwkCaCNPTktX-jwAlow</t>
        </is>
      </c>
      <c r="Q86" s="26" t="inlineStr">
        <is>
          <t>Signals: high_upload_frequency</t>
        </is>
      </c>
      <c r="R86" s="26" t="inlineStr">
        <is>
          <t>https://www.youtube.com/channel/UC1uhZwkCaCNPTktX-jwAlow</t>
        </is>
      </c>
      <c r="S86" s="26" t="inlineStr">
        <is>
          <t>email</t>
        </is>
      </c>
      <c r="T86" s="26" t="inlineStr">
        <is>
          <t>furqanbhatti.enquiries@gmail.com</t>
        </is>
      </c>
      <c r="U86" s="26" t="inlineStr">
        <is>
          <t>https://www.youtube.com/channel/UC1uhZwkCaCNPTktX-jwAlow</t>
        </is>
      </c>
      <c r="V86" s="26" t="inlineStr">
        <is>
          <t>https://www.youtube.com/channel/UC1uhZwkCaCNPTktX-jwAlow</t>
        </is>
      </c>
      <c r="W86" s="26" t="inlineStr">
        <is>
          <t>https://www.youtube.com/channel/UC1uhZwkCaCNPTktX-jwAlow</t>
        </is>
      </c>
      <c r="X86" s="34" t="inlineStr">
        <is>
          <t>2026-09-04</t>
        </is>
      </c>
      <c r="Y86" s="26" t="inlineStr">
        <is>
          <t>B</t>
        </is>
      </c>
      <c r="Z86" s="26" t="inlineStr">
        <is>
          <t>nan</t>
        </is>
      </c>
      <c r="AA86" s="26" t="inlineStr">
        <is>
          <t>Qualified</t>
        </is>
      </c>
      <c r="AB86" s="27" t="inlineStr"/>
      <c r="AC86" s="32" t="inlineStr">
        <is>
          <t>Passed</t>
        </is>
      </c>
      <c r="AD86" s="32" t="inlineStr">
        <is>
          <t>Passed</t>
        </is>
      </c>
    </row>
    <row r="87">
      <c r="A87" s="25" t="inlineStr">
        <is>
          <t>LEAD-0083</t>
        </is>
      </c>
      <c r="B87" s="26" t="inlineStr">
        <is>
          <t>KG LIVING IN SG</t>
        </is>
      </c>
      <c r="C87" s="26" t="inlineStr">
        <is>
          <t>Lifestyle</t>
        </is>
      </c>
      <c r="D87" s="26" t="inlineStr">
        <is>
          <t>SG</t>
        </is>
      </c>
      <c r="E87" s="26" t="inlineStr">
        <is>
          <t>EN</t>
        </is>
      </c>
      <c r="F87" s="26" t="inlineStr">
        <is>
          <t>YouTube</t>
        </is>
      </c>
      <c r="G87" s="26" t="inlineStr">
        <is>
          <t>https://www.youtube.com/channel/UC2bEEc9IkLZcUPHQd1W0s1A</t>
        </is>
      </c>
      <c r="H87" s="26" t="inlineStr">
        <is>
          <t>UC2bEEc9IkLZcUPHQd1W0s1A</t>
        </is>
      </c>
      <c r="I87" s="26" t="inlineStr">
        <is>
          <t>https://www.youtube.com/channel/UC2bEEc9IkLZcUPHQd1W0s1A</t>
        </is>
      </c>
      <c r="J87" s="37" t="n">
        <v>101000</v>
      </c>
      <c r="K87" s="34" t="inlineStr">
        <is>
          <t>2026-09-04</t>
        </is>
      </c>
      <c r="L87" s="26" t="inlineStr">
        <is>
          <t>https://www.youtube.com/channel/UC2bEEc9IkLZcUPHQd1W0s1A</t>
        </is>
      </c>
      <c r="M87" s="37" t="n">
        <v>32</v>
      </c>
      <c r="N87" s="37" t="n">
        <v>64</v>
      </c>
      <c r="O87" s="26" t="inlineStr">
        <is>
          <t>Established channel: 101,000 subscribers, 1056 videos published</t>
        </is>
      </c>
      <c r="P87" s="26" t="inlineStr">
        <is>
          <t>https://www.youtube.com/channel/UC2bEEc9IkLZcUPHQd1W0s1A</t>
        </is>
      </c>
      <c r="Q87" s="26" t="inlineStr">
        <is>
          <t>Signals: high_upload_frequency</t>
        </is>
      </c>
      <c r="R87" s="26" t="inlineStr">
        <is>
          <t>https://www.youtube.com/channel/UC2bEEc9IkLZcUPHQd1W0s1A</t>
        </is>
      </c>
      <c r="S87" s="26" t="inlineStr">
        <is>
          <t>email</t>
        </is>
      </c>
      <c r="T87" s="26" t="inlineStr">
        <is>
          <t>gayuaru96@outlook.com</t>
        </is>
      </c>
      <c r="U87" s="26" t="inlineStr">
        <is>
          <t>https://www.youtube.com/channel/UC2bEEc9IkLZcUPHQd1W0s1A</t>
        </is>
      </c>
      <c r="V87" s="26" t="inlineStr">
        <is>
          <t>https://www.youtube.com/channel/UC2bEEc9IkLZcUPHQd1W0s1A</t>
        </is>
      </c>
      <c r="W87" s="26" t="inlineStr">
        <is>
          <t>https://www.youtube.com/channel/UC2bEEc9IkLZcUPHQd1W0s1A</t>
        </is>
      </c>
      <c r="X87" s="34" t="inlineStr">
        <is>
          <t>2026-09-04</t>
        </is>
      </c>
      <c r="Y87" s="26" t="inlineStr">
        <is>
          <t>B</t>
        </is>
      </c>
      <c r="Z87" s="26" t="inlineStr">
        <is>
          <t>nan</t>
        </is>
      </c>
      <c r="AA87" s="26" t="inlineStr">
        <is>
          <t>Qualified</t>
        </is>
      </c>
      <c r="AB87" s="27" t="inlineStr"/>
      <c r="AC87" s="32" t="inlineStr">
        <is>
          <t>Passed</t>
        </is>
      </c>
      <c r="AD87" s="32" t="inlineStr">
        <is>
          <t>Passed</t>
        </is>
      </c>
    </row>
    <row r="88">
      <c r="A88" s="25" t="inlineStr">
        <is>
          <t>LEAD-0084</t>
        </is>
      </c>
      <c r="B88" s="26" t="inlineStr">
        <is>
          <t>Kevin Samuels</t>
        </is>
      </c>
      <c r="C88" s="26" t="inlineStr">
        <is>
          <t>Tech</t>
        </is>
      </c>
      <c r="D88" s="26" t="inlineStr">
        <is>
          <t>US</t>
        </is>
      </c>
      <c r="E88" s="26" t="inlineStr">
        <is>
          <t>EN</t>
        </is>
      </c>
      <c r="F88" s="26" t="inlineStr">
        <is>
          <t>YouTube</t>
        </is>
      </c>
      <c r="G88" s="26" t="inlineStr">
        <is>
          <t>https://www.youtube.com/channel/UCLjodVTY_kZzd3cQ7D82DhA</t>
        </is>
      </c>
      <c r="H88" s="26" t="inlineStr">
        <is>
          <t>UCLjodVTY_kZzd3cQ7D82DhA</t>
        </is>
      </c>
      <c r="I88" s="26" t="inlineStr">
        <is>
          <t>https://www.youtube.com/channel/UCLjodVTY_kZzd3cQ7D82DhA</t>
        </is>
      </c>
      <c r="J88" s="37" t="n">
        <v>1920000</v>
      </c>
      <c r="K88" s="34" t="inlineStr">
        <is>
          <t>2026-09-04</t>
        </is>
      </c>
      <c r="L88" s="26" t="inlineStr">
        <is>
          <t>https://www.youtube.com/channel/UCLjodVTY_kZzd3cQ7D82DhA</t>
        </is>
      </c>
      <c r="M88" s="37" t="n">
        <v>21</v>
      </c>
      <c r="N88" s="37" t="n">
        <v>42</v>
      </c>
      <c r="O88" s="26" t="inlineStr">
        <is>
          <t>Keywords: patreon</t>
        </is>
      </c>
      <c r="P88" s="26" t="inlineStr">
        <is>
          <t>https://www.youtube.com/channel/UCLjodVTY_kZzd3cQ7D82DhA</t>
        </is>
      </c>
      <c r="Q88" s="26" t="inlineStr">
        <is>
          <t>Signals: shorts, high_upload_frequency</t>
        </is>
      </c>
      <c r="R88" s="26" t="inlineStr">
        <is>
          <t>https://www.youtube.com/channel/UCLjodVTY_kZzd3cQ7D82DhA</t>
        </is>
      </c>
      <c r="S88" s="26" t="inlineStr">
        <is>
          <t>email</t>
        </is>
      </c>
      <c r="T88" s="26" t="inlineStr">
        <is>
          <t>kevinsamuelsmemory@gmail.com</t>
        </is>
      </c>
      <c r="U88" s="26" t="inlineStr">
        <is>
          <t>https://www.youtube.com/channel/UCLjodVTY_kZzd3cQ7D82DhA</t>
        </is>
      </c>
      <c r="V88" s="26" t="inlineStr">
        <is>
          <t>https://www.youtube.com/channel/UCLjodVTY_kZzd3cQ7D82DhA</t>
        </is>
      </c>
      <c r="W88" s="26" t="inlineStr">
        <is>
          <t>https://www.youtube.com/channel/UCLjodVTY_kZzd3cQ7D82DhA</t>
        </is>
      </c>
      <c r="X88" s="34" t="inlineStr">
        <is>
          <t>2026-09-04</t>
        </is>
      </c>
      <c r="Y88" s="26" t="inlineStr">
        <is>
          <t>B</t>
        </is>
      </c>
      <c r="Z88" s="26" t="inlineStr">
        <is>
          <t>nan</t>
        </is>
      </c>
      <c r="AA88" s="26" t="inlineStr">
        <is>
          <t>Qualified</t>
        </is>
      </c>
      <c r="AB88" s="27" t="inlineStr"/>
      <c r="AC88" s="32" t="inlineStr">
        <is>
          <t>Passed</t>
        </is>
      </c>
      <c r="AD88" s="32" t="inlineStr">
        <is>
          <t>Passed</t>
        </is>
      </c>
    </row>
    <row r="89">
      <c r="A89" s="25" t="inlineStr">
        <is>
          <t>LEAD-0085</t>
        </is>
      </c>
      <c r="B89" s="26" t="inlineStr">
        <is>
          <t>Max Klymenko</t>
        </is>
      </c>
      <c r="C89" s="26" t="inlineStr">
        <is>
          <t>Lifestyle</t>
        </is>
      </c>
      <c r="D89" s="26" t="inlineStr">
        <is>
          <t>GB</t>
        </is>
      </c>
      <c r="E89" s="26" t="inlineStr">
        <is>
          <t>EN</t>
        </is>
      </c>
      <c r="F89" s="26" t="inlineStr">
        <is>
          <t>YouTube</t>
        </is>
      </c>
      <c r="G89" s="26" t="inlineStr">
        <is>
          <t>https://www.youtube.com/channel/UCisy6taOAeLfyaCqcMQDfig</t>
        </is>
      </c>
      <c r="H89" s="26" t="inlineStr">
        <is>
          <t>UCisy6taOAeLfyaCqcMQDfig</t>
        </is>
      </c>
      <c r="I89" s="26" t="inlineStr">
        <is>
          <t>https://www.youtube.com/channel/UCisy6taOAeLfyaCqcMQDfig</t>
        </is>
      </c>
      <c r="J89" s="37" t="n">
        <v>4440000</v>
      </c>
      <c r="K89" s="34" t="inlineStr">
        <is>
          <t>2026-09-03</t>
        </is>
      </c>
      <c r="L89" s="26" t="inlineStr">
        <is>
          <t>https://www.youtube.com/channel/UCisy6taOAeLfyaCqcMQDfig</t>
        </is>
      </c>
      <c r="M89" s="37" t="n">
        <v>28</v>
      </c>
      <c r="N89" s="37" t="n">
        <v>56</v>
      </c>
      <c r="O89" s="26" t="inlineStr">
        <is>
          <t>Established channel: 4,440,000 subscribers, 1860 videos published</t>
        </is>
      </c>
      <c r="P89" s="26" t="inlineStr">
        <is>
          <t>https://www.youtube.com/channel/UCisy6taOAeLfyaCqcMQDfig</t>
        </is>
      </c>
      <c r="Q89" s="26" t="inlineStr">
        <is>
          <t>Signals: high_upload_frequency</t>
        </is>
      </c>
      <c r="R89" s="26" t="inlineStr">
        <is>
          <t>https://www.youtube.com/channel/UCisy6taOAeLfyaCqcMQDfig</t>
        </is>
      </c>
      <c r="S89" s="26" t="inlineStr">
        <is>
          <t>email</t>
        </is>
      </c>
      <c r="T89" s="26" t="inlineStr">
        <is>
          <t>team@klymandco.com</t>
        </is>
      </c>
      <c r="U89" s="26" t="inlineStr">
        <is>
          <t>https://www.youtube.com/channel/UCisy6taOAeLfyaCqcMQDfig</t>
        </is>
      </c>
      <c r="V89" s="26" t="inlineStr">
        <is>
          <t>https://www.youtube.com/channel/UCisy6taOAeLfyaCqcMQDfig</t>
        </is>
      </c>
      <c r="W89" s="26" t="inlineStr">
        <is>
          <t>https://www.youtube.com/channel/UCisy6taOAeLfyaCqcMQDfig</t>
        </is>
      </c>
      <c r="X89" s="34" t="inlineStr">
        <is>
          <t>2026-09-04</t>
        </is>
      </c>
      <c r="Y89" s="26" t="inlineStr">
        <is>
          <t>A</t>
        </is>
      </c>
      <c r="Z89" s="26" t="inlineStr">
        <is>
          <t>nan</t>
        </is>
      </c>
      <c r="AA89" s="26" t="inlineStr">
        <is>
          <t>Qualified</t>
        </is>
      </c>
      <c r="AB89" s="27" t="inlineStr"/>
      <c r="AC89" s="32" t="inlineStr">
        <is>
          <t>Passed</t>
        </is>
      </c>
      <c r="AD89" s="32" t="inlineStr">
        <is>
          <t>Passed</t>
        </is>
      </c>
    </row>
    <row r="90">
      <c r="A90" s="25" t="inlineStr">
        <is>
          <t>LEAD-0086</t>
        </is>
      </c>
      <c r="B90" s="26" t="inlineStr">
        <is>
          <t>Intuitive Soul Coach</t>
        </is>
      </c>
      <c r="C90" s="26" t="inlineStr">
        <is>
          <t>Lifestyle</t>
        </is>
      </c>
      <c r="D90" s="26" t="inlineStr">
        <is>
          <t>US</t>
        </is>
      </c>
      <c r="E90" s="26" t="inlineStr">
        <is>
          <t>EN</t>
        </is>
      </c>
      <c r="F90" s="26" t="inlineStr">
        <is>
          <t>YouTube</t>
        </is>
      </c>
      <c r="G90" s="26" t="inlineStr">
        <is>
          <t>https://www.youtube.com/channel/UCy_vKFANXApAMxZE35BqR5Q</t>
        </is>
      </c>
      <c r="H90" s="26" t="inlineStr">
        <is>
          <t>UCy_vKFANXApAMxZE35BqR5Q</t>
        </is>
      </c>
      <c r="I90" s="26" t="inlineStr">
        <is>
          <t>http://www.intuitivesoulcoach.com</t>
        </is>
      </c>
      <c r="J90" s="37" t="n">
        <v>74100</v>
      </c>
      <c r="K90" s="34" t="inlineStr">
        <is>
          <t>2026-09-02</t>
        </is>
      </c>
      <c r="L90" s="26" t="inlineStr">
        <is>
          <t>https://www.youtube.com/channel/UCy_vKFANXApAMxZE35BqR5Q</t>
        </is>
      </c>
      <c r="M90" s="37" t="n">
        <v>23</v>
      </c>
      <c r="N90" s="37" t="n">
        <v>46</v>
      </c>
      <c r="O90" s="26" t="inlineStr">
        <is>
          <t>Established channel: 74,100 subscribers, 3419 videos published</t>
        </is>
      </c>
      <c r="P90" s="26" t="inlineStr">
        <is>
          <t>https://www.youtube.com/channel/UCy_vKFANXApAMxZE35BqR5Q</t>
        </is>
      </c>
      <c r="Q90" s="26" t="inlineStr">
        <is>
          <t>Signals: high_upload_frequency</t>
        </is>
      </c>
      <c r="R90" s="26" t="inlineStr">
        <is>
          <t>https://www.youtube.com/channel/UCy_vKFANXApAMxZE35BqR5Q</t>
        </is>
      </c>
      <c r="S90" s="26" t="inlineStr">
        <is>
          <t>website</t>
        </is>
      </c>
      <c r="T90" s="26" t="inlineStr">
        <is>
          <t>nan</t>
        </is>
      </c>
      <c r="U90" s="26" t="inlineStr">
        <is>
          <t>http://www.intuitivesoulcoach.com</t>
        </is>
      </c>
      <c r="V90" s="26" t="inlineStr">
        <is>
          <t>https://www.youtube.com/channel/UCy_vKFANXApAMxZE35BqR5Q</t>
        </is>
      </c>
      <c r="W90" s="26" t="inlineStr">
        <is>
          <t>https://www.youtube.com/channel/UCy_vKFANXApAMxZE35BqR5Q</t>
        </is>
      </c>
      <c r="X90" s="34" t="inlineStr">
        <is>
          <t>2026-09-04</t>
        </is>
      </c>
      <c r="Y90" s="26" t="inlineStr">
        <is>
          <t>B</t>
        </is>
      </c>
      <c r="Z90" s="26" t="inlineStr">
        <is>
          <t>nan</t>
        </is>
      </c>
      <c r="AA90" s="26" t="inlineStr">
        <is>
          <t>Qualified</t>
        </is>
      </c>
      <c r="AB90" s="27" t="inlineStr"/>
      <c r="AC90" s="32" t="inlineStr">
        <is>
          <t>Passed</t>
        </is>
      </c>
      <c r="AD90" s="32" t="inlineStr">
        <is>
          <t>Passed</t>
        </is>
      </c>
    </row>
    <row r="91">
      <c r="A91" s="25" t="inlineStr">
        <is>
          <t>LEAD-0087</t>
        </is>
      </c>
      <c r="B91" s="26" t="inlineStr">
        <is>
          <t>Epic Real Estate</t>
        </is>
      </c>
      <c r="C91" s="26" t="inlineStr">
        <is>
          <t>Education</t>
        </is>
      </c>
      <c r="D91" s="26" t="inlineStr">
        <is>
          <t>US</t>
        </is>
      </c>
      <c r="E91" s="26" t="inlineStr">
        <is>
          <t>EN</t>
        </is>
      </c>
      <c r="F91" s="26" t="inlineStr">
        <is>
          <t>YouTube</t>
        </is>
      </c>
      <c r="G91" s="26" t="inlineStr">
        <is>
          <t>https://www.youtube.com/channel/UC8ZYmCweKD2x-wy8PDEiFog</t>
        </is>
      </c>
      <c r="H91" s="26" t="inlineStr">
        <is>
          <t>UC8ZYmCweKD2x-wy8PDEiFog</t>
        </is>
      </c>
      <c r="I91" s="26" t="inlineStr">
        <is>
          <t>https://ProtectMyHome.inc</t>
        </is>
      </c>
      <c r="J91" s="37" t="n">
        <v>325000</v>
      </c>
      <c r="K91" s="34" t="inlineStr">
        <is>
          <t>2026-08-31</t>
        </is>
      </c>
      <c r="L91" s="26" t="inlineStr">
        <is>
          <t>https://www.youtube.com/channel/UC8ZYmCweKD2x-wy8PDEiFog</t>
        </is>
      </c>
      <c r="M91" s="37" t="n">
        <v>20</v>
      </c>
      <c r="N91" s="37" t="n">
        <v>40</v>
      </c>
      <c r="O91" s="26" t="inlineStr">
        <is>
          <t>Keywords: affiliate</t>
        </is>
      </c>
      <c r="P91" s="26" t="inlineStr">
        <is>
          <t>https://www.youtube.com/channel/UC8ZYmCweKD2x-wy8PDEiFog</t>
        </is>
      </c>
      <c r="Q91" s="26" t="inlineStr">
        <is>
          <t>Signals: repurposing, high_upload_frequency</t>
        </is>
      </c>
      <c r="R91" s="26" t="inlineStr">
        <is>
          <t>https://www.youtube.com/channel/UC8ZYmCweKD2x-wy8PDEiFog</t>
        </is>
      </c>
      <c r="S91" s="26" t="inlineStr">
        <is>
          <t>website</t>
        </is>
      </c>
      <c r="T91" s="26" t="inlineStr">
        <is>
          <t>nan</t>
        </is>
      </c>
      <c r="U91" s="26" t="inlineStr">
        <is>
          <t>https://ProtectMyHome.inc</t>
        </is>
      </c>
      <c r="V91" s="26" t="inlineStr">
        <is>
          <t>https://www.youtube.com/channel/UC8ZYmCweKD2x-wy8PDEiFog</t>
        </is>
      </c>
      <c r="W91" s="26" t="inlineStr">
        <is>
          <t>https://www.youtube.com/channel/UC8ZYmCweKD2x-wy8PDEiFog</t>
        </is>
      </c>
      <c r="X91" s="34" t="inlineStr">
        <is>
          <t>2026-09-04</t>
        </is>
      </c>
      <c r="Y91" s="26" t="inlineStr">
        <is>
          <t>B</t>
        </is>
      </c>
      <c r="Z91" s="26" t="inlineStr">
        <is>
          <t>nan</t>
        </is>
      </c>
      <c r="AA91" s="26" t="inlineStr">
        <is>
          <t>Qualified</t>
        </is>
      </c>
      <c r="AB91" s="27" t="inlineStr"/>
      <c r="AC91" s="32" t="inlineStr">
        <is>
          <t>Passed</t>
        </is>
      </c>
      <c r="AD91" s="32" t="inlineStr">
        <is>
          <t>Passed</t>
        </is>
      </c>
    </row>
    <row r="92">
      <c r="A92" s="25" t="inlineStr">
        <is>
          <t>LEAD-0088</t>
        </is>
      </c>
      <c r="B92" s="26" t="inlineStr">
        <is>
          <t>Humphrey Yang</t>
        </is>
      </c>
      <c r="C92" s="26" t="inlineStr">
        <is>
          <t>Lifestyle</t>
        </is>
      </c>
      <c r="D92" s="26" t="inlineStr">
        <is>
          <t>US</t>
        </is>
      </c>
      <c r="E92" s="26" t="inlineStr">
        <is>
          <t>EN</t>
        </is>
      </c>
      <c r="F92" s="26" t="inlineStr">
        <is>
          <t>YouTube</t>
        </is>
      </c>
      <c r="G92" s="26" t="inlineStr">
        <is>
          <t>https://www.youtube.com/channel/UCFBpVaKCC0ajGps1vf0AgBg</t>
        </is>
      </c>
      <c r="H92" s="26" t="inlineStr">
        <is>
          <t>UCFBpVaKCC0ajGps1vf0AgBg</t>
        </is>
      </c>
      <c r="I92" s="26" t="inlineStr">
        <is>
          <t>https://www.youtube.com/channel/UCFBpVaKCC0ajGps1vf0AgBg</t>
        </is>
      </c>
      <c r="J92" s="37" t="n">
        <v>2080000</v>
      </c>
      <c r="K92" s="34" t="inlineStr">
        <is>
          <t>2026-09-03</t>
        </is>
      </c>
      <c r="L92" s="26" t="inlineStr">
        <is>
          <t>https://www.youtube.com/channel/UCFBpVaKCC0ajGps1vf0AgBg</t>
        </is>
      </c>
      <c r="M92" s="37" t="n">
        <v>18</v>
      </c>
      <c r="N92" s="37" t="n">
        <v>36</v>
      </c>
      <c r="O92" s="26" t="inlineStr">
        <is>
          <t>Keywords: affiliate</t>
        </is>
      </c>
      <c r="P92" s="26" t="inlineStr">
        <is>
          <t>https://www.youtube.com/channel/UCFBpVaKCC0ajGps1vf0AgBg</t>
        </is>
      </c>
      <c r="Q92" s="26" t="inlineStr">
        <is>
          <t>Signals: high_upload_frequency</t>
        </is>
      </c>
      <c r="R92" s="26" t="inlineStr">
        <is>
          <t>https://www.youtube.com/channel/UCFBpVaKCC0ajGps1vf0AgBg</t>
        </is>
      </c>
      <c r="S92" s="26" t="inlineStr">
        <is>
          <t>email</t>
        </is>
      </c>
      <c r="T92" s="26" t="inlineStr">
        <is>
          <t>humphrey@wmeagency.com</t>
        </is>
      </c>
      <c r="U92" s="26" t="inlineStr">
        <is>
          <t>https://www.youtube.com/channel/UCFBpVaKCC0ajGps1vf0AgBg</t>
        </is>
      </c>
      <c r="V92" s="26" t="inlineStr">
        <is>
          <t>https://www.youtube.com/channel/UCFBpVaKCC0ajGps1vf0AgBg</t>
        </is>
      </c>
      <c r="W92" s="26" t="inlineStr">
        <is>
          <t>https://www.youtube.com/channel/UCFBpVaKCC0ajGps1vf0AgBg</t>
        </is>
      </c>
      <c r="X92" s="34" t="inlineStr">
        <is>
          <t>2026-09-04</t>
        </is>
      </c>
      <c r="Y92" s="26" t="inlineStr">
        <is>
          <t>B</t>
        </is>
      </c>
      <c r="Z92" s="26" t="inlineStr">
        <is>
          <t>nan</t>
        </is>
      </c>
      <c r="AA92" s="26" t="inlineStr">
        <is>
          <t>Qualified</t>
        </is>
      </c>
      <c r="AB92" s="27" t="inlineStr"/>
      <c r="AC92" s="32" t="inlineStr">
        <is>
          <t>Passed</t>
        </is>
      </c>
      <c r="AD92" s="32" t="inlineStr">
        <is>
          <t>Passed</t>
        </is>
      </c>
    </row>
    <row r="93">
      <c r="A93" s="25" t="inlineStr">
        <is>
          <t>LEAD-0089</t>
        </is>
      </c>
      <c r="B93" s="26" t="inlineStr">
        <is>
          <t>Parker Burton</t>
        </is>
      </c>
      <c r="C93" s="26" t="inlineStr">
        <is>
          <t>Tech</t>
        </is>
      </c>
      <c r="D93" s="26" t="inlineStr">
        <is>
          <t>US</t>
        </is>
      </c>
      <c r="E93" s="26" t="inlineStr">
        <is>
          <t>EN</t>
        </is>
      </c>
      <c r="F93" s="26" t="inlineStr">
        <is>
          <t>YouTube</t>
        </is>
      </c>
      <c r="G93" s="26" t="inlineStr">
        <is>
          <t>https://www.youtube.com/channel/UCEeH57P89hPQ1Sp2TavfICA</t>
        </is>
      </c>
      <c r="H93" s="26" t="inlineStr">
        <is>
          <t>UCEeH57P89hPQ1Sp2TavfICA</t>
        </is>
      </c>
      <c r="I93" s="26" t="inlineStr">
        <is>
          <t>https://www.youtube.com/channel/UCEeH57P89hPQ1Sp2TavfICA</t>
        </is>
      </c>
      <c r="J93" s="37" t="n">
        <v>1340000</v>
      </c>
      <c r="K93" s="34" t="inlineStr">
        <is>
          <t>2026-09-03</t>
        </is>
      </c>
      <c r="L93" s="26" t="inlineStr">
        <is>
          <t>https://www.youtube.com/channel/UCEeH57P89hPQ1Sp2TavfICA</t>
        </is>
      </c>
      <c r="M93" s="37" t="n">
        <v>25</v>
      </c>
      <c r="N93" s="37" t="n">
        <v>50</v>
      </c>
      <c r="O93" s="26" t="inlineStr">
        <is>
          <t>Established channel: 1,340,000 subscribers, 1642 videos published</t>
        </is>
      </c>
      <c r="P93" s="26" t="inlineStr">
        <is>
          <t>https://www.youtube.com/channel/UCEeH57P89hPQ1Sp2TavfICA</t>
        </is>
      </c>
      <c r="Q93" s="26" t="inlineStr">
        <is>
          <t>Signals: high_upload_frequency, relevant_topic_category</t>
        </is>
      </c>
      <c r="R93" s="26" t="inlineStr">
        <is>
          <t>https://www.youtube.com/channel/UCEeH57P89hPQ1Sp2TavfICA</t>
        </is>
      </c>
      <c r="S93" s="26" t="inlineStr">
        <is>
          <t>email</t>
        </is>
      </c>
      <c r="T93" s="26" t="inlineStr">
        <is>
          <t>parker@imparkerburton.com</t>
        </is>
      </c>
      <c r="U93" s="26" t="inlineStr">
        <is>
          <t>https://www.youtube.com/channel/UCEeH57P89hPQ1Sp2TavfICA</t>
        </is>
      </c>
      <c r="V93" s="26" t="inlineStr">
        <is>
          <t>https://www.youtube.com/channel/UCEeH57P89hPQ1Sp2TavfICA</t>
        </is>
      </c>
      <c r="W93" s="26" t="inlineStr">
        <is>
          <t>https://www.youtube.com/channel/UCEeH57P89hPQ1Sp2TavfICA</t>
        </is>
      </c>
      <c r="X93" s="34" t="inlineStr">
        <is>
          <t>2026-09-04</t>
        </is>
      </c>
      <c r="Y93" s="26" t="inlineStr">
        <is>
          <t>B</t>
        </is>
      </c>
      <c r="Z93" s="26" t="inlineStr">
        <is>
          <t>nan</t>
        </is>
      </c>
      <c r="AA93" s="26" t="inlineStr">
        <is>
          <t>Qualified</t>
        </is>
      </c>
      <c r="AB93" s="27" t="inlineStr"/>
      <c r="AC93" s="32" t="inlineStr">
        <is>
          <t>Passed</t>
        </is>
      </c>
      <c r="AD93" s="32" t="inlineStr">
        <is>
          <t>Passed</t>
        </is>
      </c>
    </row>
    <row r="94">
      <c r="A94" s="25" t="inlineStr">
        <is>
          <t>LEAD-0090</t>
        </is>
      </c>
      <c r="B94" s="26" t="inlineStr">
        <is>
          <t>Maddie Borge</t>
        </is>
      </c>
      <c r="C94" s="26" t="inlineStr">
        <is>
          <t>Lifestyle</t>
        </is>
      </c>
      <c r="D94" s="26" t="inlineStr">
        <is>
          <t>GB</t>
        </is>
      </c>
      <c r="E94" s="26" t="inlineStr">
        <is>
          <t>EN</t>
        </is>
      </c>
      <c r="F94" s="26" t="inlineStr">
        <is>
          <t>YouTube</t>
        </is>
      </c>
      <c r="G94" s="26" t="inlineStr">
        <is>
          <t>https://www.youtube.com/channel/UCkfTm3HfC4Fqr5dTPJHc9Fg</t>
        </is>
      </c>
      <c r="H94" s="26" t="inlineStr">
        <is>
          <t>UCkfTm3HfC4Fqr5dTPJHc9Fg</t>
        </is>
      </c>
      <c r="I94" s="26" t="inlineStr">
        <is>
          <t>https://www.youtube.com/channel/UCkfTm3HfC4Fqr5dTPJHc9Fg</t>
        </is>
      </c>
      <c r="J94" s="37" t="n">
        <v>1120000</v>
      </c>
      <c r="K94" s="34" t="inlineStr">
        <is>
          <t>2026-09-02</t>
        </is>
      </c>
      <c r="L94" s="26" t="inlineStr">
        <is>
          <t>https://www.youtube.com/channel/UCkfTm3HfC4Fqr5dTPJHc9Fg</t>
        </is>
      </c>
      <c r="M94" s="37" t="n">
        <v>23</v>
      </c>
      <c r="N94" s="37" t="n">
        <v>46</v>
      </c>
      <c r="O94" s="26" t="inlineStr">
        <is>
          <t>Established channel: 1,120,000 subscribers, 1077 videos published</t>
        </is>
      </c>
      <c r="P94" s="26" t="inlineStr">
        <is>
          <t>https://www.youtube.com/channel/UCkfTm3HfC4Fqr5dTPJHc9Fg</t>
        </is>
      </c>
      <c r="Q94" s="26" t="inlineStr">
        <is>
          <t>Signals: shorts, high_upload_frequency</t>
        </is>
      </c>
      <c r="R94" s="26" t="inlineStr">
        <is>
          <t>https://www.youtube.com/channel/UCkfTm3HfC4Fqr5dTPJHc9Fg</t>
        </is>
      </c>
      <c r="S94" s="26" t="inlineStr">
        <is>
          <t>email</t>
        </is>
      </c>
      <c r="T94" s="26" t="inlineStr">
        <is>
          <t>maddieborge@sixteenth.com</t>
        </is>
      </c>
      <c r="U94" s="26" t="inlineStr">
        <is>
          <t>https://www.youtube.com/channel/UCkfTm3HfC4Fqr5dTPJHc9Fg</t>
        </is>
      </c>
      <c r="V94" s="26" t="inlineStr">
        <is>
          <t>https://www.youtube.com/channel/UCkfTm3HfC4Fqr5dTPJHc9Fg</t>
        </is>
      </c>
      <c r="W94" s="26" t="inlineStr">
        <is>
          <t>https://www.youtube.com/channel/UCkfTm3HfC4Fqr5dTPJHc9Fg</t>
        </is>
      </c>
      <c r="X94" s="34" t="inlineStr">
        <is>
          <t>2026-09-04</t>
        </is>
      </c>
      <c r="Y94" s="26" t="inlineStr">
        <is>
          <t>B</t>
        </is>
      </c>
      <c r="Z94" s="26" t="inlineStr">
        <is>
          <t>nan</t>
        </is>
      </c>
      <c r="AA94" s="26" t="inlineStr">
        <is>
          <t>Qualified</t>
        </is>
      </c>
      <c r="AB94" s="27" t="inlineStr"/>
      <c r="AC94" s="32" t="inlineStr">
        <is>
          <t>Passed</t>
        </is>
      </c>
      <c r="AD94" s="32" t="inlineStr">
        <is>
          <t>Passed</t>
        </is>
      </c>
    </row>
    <row r="95">
      <c r="A95" s="25" t="inlineStr">
        <is>
          <t>LEAD-0091</t>
        </is>
      </c>
      <c r="B95" s="26" t="inlineStr">
        <is>
          <t>The Financial Diet</t>
        </is>
      </c>
      <c r="C95" s="26" t="inlineStr">
        <is>
          <t>Lifestyle</t>
        </is>
      </c>
      <c r="D95" s="26" t="inlineStr">
        <is>
          <t>US</t>
        </is>
      </c>
      <c r="E95" s="26" t="inlineStr">
        <is>
          <t>EN</t>
        </is>
      </c>
      <c r="F95" s="26" t="inlineStr">
        <is>
          <t>YouTube</t>
        </is>
      </c>
      <c r="G95" s="26" t="inlineStr">
        <is>
          <t>https://www.youtube.com/channel/UCSPYNpQ2fHv9HJ-q6MIMaPw</t>
        </is>
      </c>
      <c r="H95" s="26" t="inlineStr">
        <is>
          <t>UCSPYNpQ2fHv9HJ-q6MIMaPw</t>
        </is>
      </c>
      <c r="I95" s="26" t="inlineStr">
        <is>
          <t>https://www.youtube.com/channel/UCSPYNpQ2fHv9HJ-q6MIMaPw</t>
        </is>
      </c>
      <c r="J95" s="37" t="n">
        <v>1340000</v>
      </c>
      <c r="K95" s="34" t="inlineStr">
        <is>
          <t>2026-09-03</t>
        </is>
      </c>
      <c r="L95" s="26" t="inlineStr">
        <is>
          <t>https://www.youtube.com/channel/UCSPYNpQ2fHv9HJ-q6MIMaPw</t>
        </is>
      </c>
      <c r="M95" s="37" t="n">
        <v>25</v>
      </c>
      <c r="N95" s="37" t="n">
        <v>50</v>
      </c>
      <c r="O95" s="26" t="inlineStr">
        <is>
          <t>Keywords: sponsor, patreon</t>
        </is>
      </c>
      <c r="P95" s="26" t="inlineStr">
        <is>
          <t>https://www.youtube.com/channel/UCSPYNpQ2fHv9HJ-q6MIMaPw</t>
        </is>
      </c>
      <c r="Q95" s="26" t="inlineStr">
        <is>
          <t>Signals: high_upload_frequency</t>
        </is>
      </c>
      <c r="R95" s="26" t="inlineStr">
        <is>
          <t>https://www.youtube.com/channel/UCSPYNpQ2fHv9HJ-q6MIMaPw</t>
        </is>
      </c>
      <c r="S95" s="26" t="inlineStr">
        <is>
          <t>email</t>
        </is>
      </c>
      <c r="T95" s="26" t="inlineStr">
        <is>
          <t>hello@thefinancialdiet.com</t>
        </is>
      </c>
      <c r="U95" s="26" t="inlineStr">
        <is>
          <t>https://www.youtube.com/channel/UCSPYNpQ2fHv9HJ-q6MIMaPw</t>
        </is>
      </c>
      <c r="V95" s="26" t="inlineStr">
        <is>
          <t>https://www.youtube.com/channel/UCSPYNpQ2fHv9HJ-q6MIMaPw</t>
        </is>
      </c>
      <c r="W95" s="26" t="inlineStr">
        <is>
          <t>https://www.youtube.com/channel/UCSPYNpQ2fHv9HJ-q6MIMaPw</t>
        </is>
      </c>
      <c r="X95" s="34" t="inlineStr">
        <is>
          <t>2026-09-04</t>
        </is>
      </c>
      <c r="Y95" s="26" t="inlineStr">
        <is>
          <t>B</t>
        </is>
      </c>
      <c r="Z95" s="26" t="inlineStr">
        <is>
          <t>nan</t>
        </is>
      </c>
      <c r="AA95" s="26" t="inlineStr">
        <is>
          <t>Qualified</t>
        </is>
      </c>
      <c r="AB95" s="27" t="inlineStr"/>
      <c r="AC95" s="32" t="inlineStr">
        <is>
          <t>Passed</t>
        </is>
      </c>
      <c r="AD95" s="32" t="inlineStr">
        <is>
          <t>Passed</t>
        </is>
      </c>
    </row>
    <row r="96">
      <c r="A96" s="25" t="inlineStr">
        <is>
          <t>LEAD-0092</t>
        </is>
      </c>
      <c r="B96" s="26" t="inlineStr">
        <is>
          <t>UOB</t>
        </is>
      </c>
      <c r="C96" s="26" t="inlineStr">
        <is>
          <t>Business</t>
        </is>
      </c>
      <c r="D96" s="26" t="inlineStr">
        <is>
          <t>SG</t>
        </is>
      </c>
      <c r="E96" s="26" t="inlineStr">
        <is>
          <t>EN</t>
        </is>
      </c>
      <c r="F96" s="26" t="inlineStr">
        <is>
          <t>YouTube</t>
        </is>
      </c>
      <c r="G96" s="26" t="inlineStr">
        <is>
          <t>https://www.youtube.com/channel/UC9meLxlL6MbOa4KXO96_nag</t>
        </is>
      </c>
      <c r="H96" s="26" t="inlineStr">
        <is>
          <t>UC9meLxlL6MbOa4KXO96_nag</t>
        </is>
      </c>
      <c r="I96" s="26" t="inlineStr">
        <is>
          <t>https://go.uob.com/socialmedia</t>
        </is>
      </c>
      <c r="J96" s="37" t="n">
        <v>32100</v>
      </c>
      <c r="K96" s="34" t="inlineStr">
        <is>
          <t>2026-09-04</t>
        </is>
      </c>
      <c r="L96" s="26" t="inlineStr">
        <is>
          <t>https://www.youtube.com/channel/UC9meLxlL6MbOa4KXO96_nag</t>
        </is>
      </c>
      <c r="M96" s="37" t="n">
        <v>6</v>
      </c>
      <c r="N96" s="37" t="n">
        <v>12</v>
      </c>
      <c r="O96" s="26" t="inlineStr">
        <is>
          <t>Established channel: 32,100 subscribers, 1408 videos published</t>
        </is>
      </c>
      <c r="P96" s="26" t="inlineStr">
        <is>
          <t>https://www.youtube.com/channel/UC9meLxlL6MbOa4KXO96_nag</t>
        </is>
      </c>
      <c r="Q96" s="26" t="inlineStr">
        <is>
          <t>Signals: shorts, high_upload_frequency, relevant_topic_category</t>
        </is>
      </c>
      <c r="R96" s="26" t="inlineStr">
        <is>
          <t>https://www.youtube.com/channel/UC9meLxlL6MbOa4KXO96_nag</t>
        </is>
      </c>
      <c r="S96" s="26" t="inlineStr">
        <is>
          <t>website</t>
        </is>
      </c>
      <c r="T96" s="26" t="inlineStr">
        <is>
          <t>nan</t>
        </is>
      </c>
      <c r="U96" s="26" t="inlineStr">
        <is>
          <t>https://go.uob.com/socialmedia</t>
        </is>
      </c>
      <c r="V96" s="26" t="inlineStr">
        <is>
          <t>https://www.youtube.com/channel/UC9meLxlL6MbOa4KXO96_nag</t>
        </is>
      </c>
      <c r="W96" s="26" t="inlineStr">
        <is>
          <t>https://www.youtube.com/channel/UC9meLxlL6MbOa4KXO96_nag</t>
        </is>
      </c>
      <c r="X96" s="34" t="inlineStr">
        <is>
          <t>2026-09-04</t>
        </is>
      </c>
      <c r="Y96" s="26" t="inlineStr">
        <is>
          <t>B</t>
        </is>
      </c>
      <c r="Z96" s="26" t="inlineStr">
        <is>
          <t>nan</t>
        </is>
      </c>
      <c r="AA96" s="26" t="inlineStr">
        <is>
          <t>Qualified</t>
        </is>
      </c>
      <c r="AB96" s="27" t="inlineStr"/>
      <c r="AC96" s="32" t="inlineStr">
        <is>
          <t>Passed</t>
        </is>
      </c>
      <c r="AD96" s="32" t="inlineStr">
        <is>
          <t>Passed</t>
        </is>
      </c>
    </row>
    <row r="97">
      <c r="A97" s="25" t="inlineStr">
        <is>
          <t>LEAD-0093</t>
        </is>
      </c>
      <c r="B97" s="26" t="inlineStr">
        <is>
          <t>Chris The Life Coach - Only For The Chosen Ones 👑</t>
        </is>
      </c>
      <c r="C97" s="26" t="inlineStr">
        <is>
          <t>Lifestyle</t>
        </is>
      </c>
      <c r="D97" s="26" t="inlineStr">
        <is>
          <t>US</t>
        </is>
      </c>
      <c r="E97" s="26" t="inlineStr">
        <is>
          <t>EN</t>
        </is>
      </c>
      <c r="F97" s="26" t="inlineStr">
        <is>
          <t>YouTube</t>
        </is>
      </c>
      <c r="G97" s="26" t="inlineStr">
        <is>
          <t>https://www.youtube.com/channel/UCoiS173mrr2dVmXg6ptcKBg</t>
        </is>
      </c>
      <c r="H97" s="26" t="inlineStr">
        <is>
          <t>UCoiS173mrr2dVmXg6ptcKBg</t>
        </is>
      </c>
      <c r="I97" s="26" t="inlineStr">
        <is>
          <t>https://cash.app/$ChrisTheLifeCoachLWP</t>
        </is>
      </c>
      <c r="J97" s="37" t="n">
        <v>75400</v>
      </c>
      <c r="K97" s="34" t="inlineStr">
        <is>
          <t>2026-09-04</t>
        </is>
      </c>
      <c r="L97" s="26" t="inlineStr">
        <is>
          <t>https://www.youtube.com/channel/UCoiS173mrr2dVmXg6ptcKBg</t>
        </is>
      </c>
      <c r="M97" s="37" t="n">
        <v>50</v>
      </c>
      <c r="N97" s="37" t="n">
        <v>100</v>
      </c>
      <c r="O97" s="26" t="inlineStr">
        <is>
          <t>Established channel: 75,400 subscribers, 1090 videos published</t>
        </is>
      </c>
      <c r="P97" s="26" t="inlineStr">
        <is>
          <t>https://www.youtube.com/channel/UCoiS173mrr2dVmXg6ptcKBg</t>
        </is>
      </c>
      <c r="Q97" s="26" t="inlineStr">
        <is>
          <t>Signals: high_upload_frequency</t>
        </is>
      </c>
      <c r="R97" s="26" t="inlineStr">
        <is>
          <t>https://www.youtube.com/channel/UCoiS173mrr2dVmXg6ptcKBg</t>
        </is>
      </c>
      <c r="S97" s="26" t="inlineStr">
        <is>
          <t>website</t>
        </is>
      </c>
      <c r="T97" s="26" t="inlineStr">
        <is>
          <t>nan</t>
        </is>
      </c>
      <c r="U97" s="26" t="inlineStr">
        <is>
          <t>https://cash.app/$ChrisTheLifeCoachLWP</t>
        </is>
      </c>
      <c r="V97" s="26" t="inlineStr">
        <is>
          <t>https://www.youtube.com/channel/UCoiS173mrr2dVmXg6ptcKBg</t>
        </is>
      </c>
      <c r="W97" s="26" t="inlineStr">
        <is>
          <t>https://www.youtube.com/channel/UCoiS173mrr2dVmXg6ptcKBg</t>
        </is>
      </c>
      <c r="X97" s="34" t="inlineStr">
        <is>
          <t>2026-09-04</t>
        </is>
      </c>
      <c r="Y97" s="26" t="inlineStr">
        <is>
          <t>B</t>
        </is>
      </c>
      <c r="Z97" s="26" t="inlineStr">
        <is>
          <t>nan</t>
        </is>
      </c>
      <c r="AA97" s="26" t="inlineStr">
        <is>
          <t>Qualified</t>
        </is>
      </c>
      <c r="AB97" s="27" t="inlineStr"/>
      <c r="AC97" s="32" t="inlineStr">
        <is>
          <t>Passed</t>
        </is>
      </c>
      <c r="AD97" s="32" t="inlineStr">
        <is>
          <t>Passed</t>
        </is>
      </c>
    </row>
    <row r="98">
      <c r="A98" s="25" t="inlineStr">
        <is>
          <t>LEAD-0094</t>
        </is>
      </c>
      <c r="B98" s="26" t="inlineStr">
        <is>
          <t>Xobaer</t>
        </is>
      </c>
      <c r="C98" s="26" t="inlineStr">
        <is>
          <t>Tech</t>
        </is>
      </c>
      <c r="D98" s="26" t="inlineStr">
        <is>
          <t>GB</t>
        </is>
      </c>
      <c r="E98" s="26" t="inlineStr">
        <is>
          <t>EN</t>
        </is>
      </c>
      <c r="F98" s="26" t="inlineStr">
        <is>
          <t>YouTube</t>
        </is>
      </c>
      <c r="G98" s="26" t="inlineStr">
        <is>
          <t>https://www.youtube.com/channel/UCSZ-y8ejj_JfNhd2jqDOfxw</t>
        </is>
      </c>
      <c r="H98" s="26" t="inlineStr">
        <is>
          <t>UCSZ-y8ejj_JfNhd2jqDOfxw</t>
        </is>
      </c>
      <c r="I98" s="26" t="inlineStr">
        <is>
          <t>https://www.youtube.com/channel/UCSZ-y8ejj_JfNhd2jqDOfxw</t>
        </is>
      </c>
      <c r="J98" s="37" t="n">
        <v>1660000</v>
      </c>
      <c r="K98" s="34" t="inlineStr">
        <is>
          <t>2026-09-03</t>
        </is>
      </c>
      <c r="L98" s="26" t="inlineStr">
        <is>
          <t>https://www.youtube.com/channel/UCSZ-y8ejj_JfNhd2jqDOfxw</t>
        </is>
      </c>
      <c r="M98" s="37" t="n">
        <v>34</v>
      </c>
      <c r="N98" s="37" t="n">
        <v>68</v>
      </c>
      <c r="O98" s="26" t="inlineStr">
        <is>
          <t>Established channel: 1,660,000 subscribers, 1423 videos published</t>
        </is>
      </c>
      <c r="P98" s="26" t="inlineStr">
        <is>
          <t>https://www.youtube.com/channel/UCSZ-y8ejj_JfNhd2jqDOfxw</t>
        </is>
      </c>
      <c r="Q98" s="26" t="inlineStr">
        <is>
          <t>Signals: shorts, high_upload_frequency</t>
        </is>
      </c>
      <c r="R98" s="26" t="inlineStr">
        <is>
          <t>https://www.youtube.com/channel/UCSZ-y8ejj_JfNhd2jqDOfxw</t>
        </is>
      </c>
      <c r="S98" s="26" t="inlineStr">
        <is>
          <t>email</t>
        </is>
      </c>
      <c r="T98" s="26" t="inlineStr">
        <is>
          <t>hello@xobaer.com</t>
        </is>
      </c>
      <c r="U98" s="26" t="inlineStr">
        <is>
          <t>https://www.youtube.com/channel/UCSZ-y8ejj_JfNhd2jqDOfxw</t>
        </is>
      </c>
      <c r="V98" s="26" t="inlineStr">
        <is>
          <t>https://www.youtube.com/channel/UCSZ-y8ejj_JfNhd2jqDOfxw</t>
        </is>
      </c>
      <c r="W98" s="26" t="inlineStr">
        <is>
          <t>https://www.youtube.com/channel/UCSZ-y8ejj_JfNhd2jqDOfxw</t>
        </is>
      </c>
      <c r="X98" s="34" t="inlineStr">
        <is>
          <t>2026-09-04</t>
        </is>
      </c>
      <c r="Y98" s="26" t="inlineStr">
        <is>
          <t>B</t>
        </is>
      </c>
      <c r="Z98" s="26" t="inlineStr">
        <is>
          <t>nan</t>
        </is>
      </c>
      <c r="AA98" s="26" t="inlineStr">
        <is>
          <t>Qualified</t>
        </is>
      </c>
      <c r="AB98" s="27" t="inlineStr"/>
      <c r="AC98" s="32" t="inlineStr">
        <is>
          <t>Passed</t>
        </is>
      </c>
      <c r="AD98" s="32" t="inlineStr">
        <is>
          <t>Passed</t>
        </is>
      </c>
    </row>
    <row r="99">
      <c r="A99" s="25" t="inlineStr">
        <is>
          <t>LEAD-0095</t>
        </is>
      </c>
      <c r="B99" s="26" t="inlineStr">
        <is>
          <t>Fidelity Investments</t>
        </is>
      </c>
      <c r="C99" s="26" t="inlineStr">
        <is>
          <t>Finance</t>
        </is>
      </c>
      <c r="D99" s="26" t="inlineStr">
        <is>
          <t>US</t>
        </is>
      </c>
      <c r="E99" s="26" t="inlineStr">
        <is>
          <t>EN</t>
        </is>
      </c>
      <c r="F99" s="26" t="inlineStr">
        <is>
          <t>YouTube</t>
        </is>
      </c>
      <c r="G99" s="26" t="inlineStr">
        <is>
          <t>https://www.youtube.com/channel/UCwp9GbPASoPs6BIxVWm_-2A</t>
        </is>
      </c>
      <c r="H99" s="26" t="inlineStr">
        <is>
          <t>UCwp9GbPASoPs6BIxVWm_-2A</t>
        </is>
      </c>
      <c r="I99" s="26" t="inlineStr">
        <is>
          <t>http://www.fidelity.com/about</t>
        </is>
      </c>
      <c r="J99" s="37" t="n">
        <v>170000</v>
      </c>
      <c r="K99" s="34" t="inlineStr">
        <is>
          <t>2026-09-02</t>
        </is>
      </c>
      <c r="L99" s="26" t="inlineStr">
        <is>
          <t>https://www.youtube.com/channel/UCwp9GbPASoPs6BIxVWm_-2A</t>
        </is>
      </c>
      <c r="M99" s="37" t="n">
        <v>30</v>
      </c>
      <c r="N99" s="37" t="n">
        <v>60</v>
      </c>
      <c r="O99" s="26" t="inlineStr">
        <is>
          <t>Established channel: 170,000 subscribers, 519 videos published</t>
        </is>
      </c>
      <c r="P99" s="26" t="inlineStr">
        <is>
          <t>https://www.youtube.com/channel/UCwp9GbPASoPs6BIxVWm_-2A</t>
        </is>
      </c>
      <c r="Q99" s="26" t="inlineStr">
        <is>
          <t>Signals: high_upload_frequency</t>
        </is>
      </c>
      <c r="R99" s="26" t="inlineStr">
        <is>
          <t>https://www.youtube.com/channel/UCwp9GbPASoPs6BIxVWm_-2A</t>
        </is>
      </c>
      <c r="S99" s="26" t="inlineStr">
        <is>
          <t>website</t>
        </is>
      </c>
      <c r="T99" s="26" t="inlineStr">
        <is>
          <t>nan</t>
        </is>
      </c>
      <c r="U99" s="26" t="inlineStr">
        <is>
          <t>http://www.fidelity.com/about</t>
        </is>
      </c>
      <c r="V99" s="26" t="inlineStr">
        <is>
          <t>https://www.youtube.com/channel/UCwp9GbPASoPs6BIxVWm_-2A</t>
        </is>
      </c>
      <c r="W99" s="26" t="inlineStr">
        <is>
          <t>https://www.youtube.com/channel/UCwp9GbPASoPs6BIxVWm_-2A</t>
        </is>
      </c>
      <c r="X99" s="34" t="inlineStr">
        <is>
          <t>2026-09-04</t>
        </is>
      </c>
      <c r="Y99" s="26" t="inlineStr">
        <is>
          <t>B</t>
        </is>
      </c>
      <c r="Z99" s="26" t="inlineStr">
        <is>
          <t>nan</t>
        </is>
      </c>
      <c r="AA99" s="26" t="inlineStr">
        <is>
          <t>Qualified</t>
        </is>
      </c>
      <c r="AB99" s="27" t="inlineStr"/>
      <c r="AC99" s="32" t="inlineStr">
        <is>
          <t>Passed</t>
        </is>
      </c>
      <c r="AD99" s="32" t="inlineStr">
        <is>
          <t>Passed</t>
        </is>
      </c>
    </row>
    <row r="100">
      <c r="A100" s="25" t="inlineStr">
        <is>
          <t>LEAD-0096</t>
        </is>
      </c>
      <c r="B100" s="26" t="inlineStr">
        <is>
          <t>Sethisfy Personal Finance</t>
        </is>
      </c>
      <c r="C100" s="26" t="inlineStr">
        <is>
          <t>Finance</t>
        </is>
      </c>
      <c r="D100" s="26" t="inlineStr">
        <is>
          <t>SG</t>
        </is>
      </c>
      <c r="E100" s="26" t="inlineStr">
        <is>
          <t>EN</t>
        </is>
      </c>
      <c r="F100" s="26" t="inlineStr">
        <is>
          <t>YouTube</t>
        </is>
      </c>
      <c r="G100" s="26" t="inlineStr">
        <is>
          <t>https://www.youtube.com/channel/UC8jlHWexXarcbBkQ1DjhoaQ</t>
        </is>
      </c>
      <c r="H100" s="26" t="inlineStr">
        <is>
          <t>UC8jlHWexXarcbBkQ1DjhoaQ</t>
        </is>
      </c>
      <c r="I100" s="26" t="inlineStr">
        <is>
          <t>https://sethisfy.com/telegram</t>
        </is>
      </c>
      <c r="J100" s="37" t="n">
        <v>18500</v>
      </c>
      <c r="K100" s="34" t="inlineStr">
        <is>
          <t>2026-09-03</t>
        </is>
      </c>
      <c r="L100" s="26" t="inlineStr">
        <is>
          <t>https://www.youtube.com/channel/UC8jlHWexXarcbBkQ1DjhoaQ</t>
        </is>
      </c>
      <c r="M100" s="37" t="n">
        <v>5</v>
      </c>
      <c r="N100" s="37" t="n">
        <v>10</v>
      </c>
      <c r="O100" s="26" t="inlineStr">
        <is>
          <t>Keywords: sponsored by, sponsor, affiliate, use code</t>
        </is>
      </c>
      <c r="P100" s="26" t="inlineStr">
        <is>
          <t>https://www.youtube.com/channel/UC8jlHWexXarcbBkQ1DjhoaQ</t>
        </is>
      </c>
      <c r="Q100" s="26" t="inlineStr">
        <is>
          <t>Signals: editing, high_upload_frequency</t>
        </is>
      </c>
      <c r="R100" s="26" t="inlineStr">
        <is>
          <t>https://www.youtube.com/channel/UC8jlHWexXarcbBkQ1DjhoaQ</t>
        </is>
      </c>
      <c r="S100" s="26" t="inlineStr">
        <is>
          <t>website</t>
        </is>
      </c>
      <c r="T100" s="26" t="inlineStr">
        <is>
          <t>nan</t>
        </is>
      </c>
      <c r="U100" s="26" t="inlineStr">
        <is>
          <t>https://sethisfy.com/telegram</t>
        </is>
      </c>
      <c r="V100" s="26" t="inlineStr">
        <is>
          <t>https://www.youtube.com/channel/UC8jlHWexXarcbBkQ1DjhoaQ</t>
        </is>
      </c>
      <c r="W100" s="26" t="inlineStr">
        <is>
          <t>https://www.youtube.com/channel/UC8jlHWexXarcbBkQ1DjhoaQ</t>
        </is>
      </c>
      <c r="X100" s="34" t="inlineStr">
        <is>
          <t>2026-09-04</t>
        </is>
      </c>
      <c r="Y100" s="26" t="inlineStr">
        <is>
          <t>B</t>
        </is>
      </c>
      <c r="Z100" s="26" t="inlineStr">
        <is>
          <t>nan</t>
        </is>
      </c>
      <c r="AA100" s="26" t="inlineStr">
        <is>
          <t>Qualified</t>
        </is>
      </c>
      <c r="AB100" s="27" t="inlineStr"/>
      <c r="AC100" s="32" t="inlineStr">
        <is>
          <t>Passed</t>
        </is>
      </c>
      <c r="AD100" s="32" t="inlineStr">
        <is>
          <t>Passed</t>
        </is>
      </c>
    </row>
    <row r="101">
      <c r="A101" s="25" t="inlineStr">
        <is>
          <t>LEAD-0097</t>
        </is>
      </c>
      <c r="B101" s="26" t="inlineStr">
        <is>
          <t>CallMeMing</t>
        </is>
      </c>
      <c r="C101" s="26" t="inlineStr">
        <is>
          <t>Tech</t>
        </is>
      </c>
      <c r="D101" s="26" t="inlineStr">
        <is>
          <t>CA</t>
        </is>
      </c>
      <c r="E101" s="26" t="inlineStr">
        <is>
          <t>EN</t>
        </is>
      </c>
      <c r="F101" s="26" t="inlineStr">
        <is>
          <t>YouTube</t>
        </is>
      </c>
      <c r="G101" s="26" t="inlineStr">
        <is>
          <t>https://www.youtube.com/channel/UCmRpSDBj2Ghugolopz7lOcA</t>
        </is>
      </c>
      <c r="H101" s="26" t="inlineStr">
        <is>
          <t>UCmRpSDBj2Ghugolopz7lOcA</t>
        </is>
      </c>
      <c r="I101" s="26" t="inlineStr">
        <is>
          <t>https://www.youtube.com/channel/UCmRpSDBj2Ghugolopz7lOcA</t>
        </is>
      </c>
      <c r="J101" s="37" t="n">
        <v>1050000</v>
      </c>
      <c r="K101" s="34" t="inlineStr">
        <is>
          <t>2026-09-03</t>
        </is>
      </c>
      <c r="L101" s="26" t="inlineStr">
        <is>
          <t>https://www.youtube.com/channel/UCmRpSDBj2Ghugolopz7lOcA</t>
        </is>
      </c>
      <c r="M101" s="37" t="n">
        <v>17</v>
      </c>
      <c r="N101" s="37" t="n">
        <v>34</v>
      </c>
      <c r="O101" s="26" t="inlineStr">
        <is>
          <t>Established channel: 1,050,000 subscribers, 743 videos published</t>
        </is>
      </c>
      <c r="P101" s="26" t="inlineStr">
        <is>
          <t>https://www.youtube.com/channel/UCmRpSDBj2Ghugolopz7lOcA</t>
        </is>
      </c>
      <c r="Q101" s="26" t="inlineStr">
        <is>
          <t>Signals: high_upload_frequency</t>
        </is>
      </c>
      <c r="R101" s="26" t="inlineStr">
        <is>
          <t>https://www.youtube.com/channel/UCmRpSDBj2Ghugolopz7lOcA</t>
        </is>
      </c>
      <c r="S101" s="26" t="inlineStr">
        <is>
          <t>email</t>
        </is>
      </c>
      <c r="T101" s="26" t="inlineStr">
        <is>
          <t>callmeming.business@gmail.com</t>
        </is>
      </c>
      <c r="U101" s="26" t="inlineStr">
        <is>
          <t>https://www.youtube.com/channel/UCmRpSDBj2Ghugolopz7lOcA</t>
        </is>
      </c>
      <c r="V101" s="26" t="inlineStr">
        <is>
          <t>https://www.youtube.com/channel/UCmRpSDBj2Ghugolopz7lOcA</t>
        </is>
      </c>
      <c r="W101" s="26" t="inlineStr">
        <is>
          <t>https://www.youtube.com/channel/UCmRpSDBj2Ghugolopz7lOcA</t>
        </is>
      </c>
      <c r="X101" s="34" t="inlineStr">
        <is>
          <t>2026-09-04</t>
        </is>
      </c>
      <c r="Y101" s="26" t="inlineStr">
        <is>
          <t>B</t>
        </is>
      </c>
      <c r="Z101" s="26" t="inlineStr">
        <is>
          <t>nan</t>
        </is>
      </c>
      <c r="AA101" s="26" t="inlineStr">
        <is>
          <t>Qualified</t>
        </is>
      </c>
      <c r="AB101" s="27" t="inlineStr"/>
      <c r="AC101" s="32" t="inlineStr">
        <is>
          <t>Passed</t>
        </is>
      </c>
      <c r="AD101" s="32" t="inlineStr">
        <is>
          <t>Passed</t>
        </is>
      </c>
    </row>
    <row r="102">
      <c r="A102" s="25" t="inlineStr">
        <is>
          <t>LEAD-0098</t>
        </is>
      </c>
      <c r="B102" s="26" t="inlineStr">
        <is>
          <t>Simon Squibb</t>
        </is>
      </c>
      <c r="C102" s="26" t="inlineStr">
        <is>
          <t>Lifestyle</t>
        </is>
      </c>
      <c r="D102" s="26" t="inlineStr">
        <is>
          <t>GB</t>
        </is>
      </c>
      <c r="E102" s="26" t="inlineStr">
        <is>
          <t>EN</t>
        </is>
      </c>
      <c r="F102" s="26" t="inlineStr">
        <is>
          <t>YouTube</t>
        </is>
      </c>
      <c r="G102" s="26" t="inlineStr">
        <is>
          <t>https://www.youtube.com/channel/UCGznz4NfW5iymkvn1l40qyA</t>
        </is>
      </c>
      <c r="H102" s="26" t="inlineStr">
        <is>
          <t>UCGznz4NfW5iymkvn1l40qyA</t>
        </is>
      </c>
      <c r="I102" s="26" t="inlineStr">
        <is>
          <t>https://www.youtube.com/channel/UCGznz4NfW5iymkvn1l40qyA</t>
        </is>
      </c>
      <c r="J102" s="37" t="n">
        <v>2440000</v>
      </c>
      <c r="K102" s="34" t="inlineStr">
        <is>
          <t>2026-09-03</t>
        </is>
      </c>
      <c r="L102" s="26" t="inlineStr">
        <is>
          <t>https://www.youtube.com/channel/UCGznz4NfW5iymkvn1l40qyA</t>
        </is>
      </c>
      <c r="M102" s="37" t="n">
        <v>36</v>
      </c>
      <c r="N102" s="37" t="n">
        <v>72</v>
      </c>
      <c r="O102" s="26" t="inlineStr">
        <is>
          <t>Keywords: sponsor, use code</t>
        </is>
      </c>
      <c r="P102" s="26" t="inlineStr">
        <is>
          <t>https://www.youtube.com/channel/UCGznz4NfW5iymkvn1l40qyA</t>
        </is>
      </c>
      <c r="Q102" s="26" t="inlineStr">
        <is>
          <t>Signals: newsletter, high_upload_frequency</t>
        </is>
      </c>
      <c r="R102" s="26" t="inlineStr">
        <is>
          <t>https://www.youtube.com/channel/UCGznz4NfW5iymkvn1l40qyA</t>
        </is>
      </c>
      <c r="S102" s="26" t="inlineStr">
        <is>
          <t>email</t>
        </is>
      </c>
      <c r="T102" s="26" t="inlineStr">
        <is>
          <t>partnerships@simonsquibb.com</t>
        </is>
      </c>
      <c r="U102" s="26" t="inlineStr">
        <is>
          <t>https://www.youtube.com/channel/UCGznz4NfW5iymkvn1l40qyA</t>
        </is>
      </c>
      <c r="V102" s="26" t="inlineStr">
        <is>
          <t>https://www.youtube.com/channel/UCGznz4NfW5iymkvn1l40qyA</t>
        </is>
      </c>
      <c r="W102" s="26" t="inlineStr">
        <is>
          <t>https://www.youtube.com/channel/UCGznz4NfW5iymkvn1l40qyA</t>
        </is>
      </c>
      <c r="X102" s="34" t="inlineStr">
        <is>
          <t>2026-09-04</t>
        </is>
      </c>
      <c r="Y102" s="26" t="inlineStr">
        <is>
          <t>B</t>
        </is>
      </c>
      <c r="Z102" s="26" t="inlineStr">
        <is>
          <t>nan</t>
        </is>
      </c>
      <c r="AA102" s="26" t="inlineStr">
        <is>
          <t>Qualified</t>
        </is>
      </c>
      <c r="AB102" s="27" t="inlineStr"/>
      <c r="AC102" s="32" t="inlineStr">
        <is>
          <t>Passed</t>
        </is>
      </c>
      <c r="AD102" s="32" t="inlineStr">
        <is>
          <t>Passed</t>
        </is>
      </c>
    </row>
    <row r="103">
      <c r="A103" s="25" t="inlineStr">
        <is>
          <t>LEAD-0099</t>
        </is>
      </c>
      <c r="B103" s="26" t="inlineStr">
        <is>
          <t>Spicy Singapore</t>
        </is>
      </c>
      <c r="C103" s="26" t="inlineStr">
        <is>
          <t>Lifestyle</t>
        </is>
      </c>
      <c r="D103" s="26" t="inlineStr">
        <is>
          <t>SG</t>
        </is>
      </c>
      <c r="E103" s="26" t="inlineStr">
        <is>
          <t>EN</t>
        </is>
      </c>
      <c r="F103" s="26" t="inlineStr">
        <is>
          <t>YouTube</t>
        </is>
      </c>
      <c r="G103" s="26" t="inlineStr">
        <is>
          <t>https://www.youtube.com/channel/UC6rmyCPRapkhAGRMGVxzb-Q</t>
        </is>
      </c>
      <c r="H103" s="26" t="inlineStr">
        <is>
          <t>UC6rmyCPRapkhAGRMGVxzb-Q</t>
        </is>
      </c>
      <c r="I103" s="26" t="inlineStr">
        <is>
          <t>https://www.youtube.com/channel/UC6rmyCPRapkhAGRMGVxzb-Q</t>
        </is>
      </c>
      <c r="J103" s="37" t="n">
        <v>82200</v>
      </c>
      <c r="K103" s="34" t="inlineStr">
        <is>
          <t>2026-09-04</t>
        </is>
      </c>
      <c r="L103" s="26" t="inlineStr">
        <is>
          <t>https://www.youtube.com/channel/UC6rmyCPRapkhAGRMGVxzb-Q</t>
        </is>
      </c>
      <c r="M103" s="37" t="n">
        <v>14</v>
      </c>
      <c r="N103" s="37" t="n">
        <v>28</v>
      </c>
      <c r="O103" s="26" t="inlineStr">
        <is>
          <t>Established channel: 82,200 subscribers, 518 videos published</t>
        </is>
      </c>
      <c r="P103" s="26" t="inlineStr">
        <is>
          <t>https://www.youtube.com/channel/UC6rmyCPRapkhAGRMGVxzb-Q</t>
        </is>
      </c>
      <c r="Q103" s="26" t="inlineStr">
        <is>
          <t>Signals: high_upload_frequency</t>
        </is>
      </c>
      <c r="R103" s="26" t="inlineStr">
        <is>
          <t>https://www.youtube.com/channel/UC6rmyCPRapkhAGRMGVxzb-Q</t>
        </is>
      </c>
      <c r="S103" s="26" t="inlineStr">
        <is>
          <t>email</t>
        </is>
      </c>
      <c r="T103" s="26" t="inlineStr">
        <is>
          <t>spicysingapore@gmail.com</t>
        </is>
      </c>
      <c r="U103" s="26" t="inlineStr">
        <is>
          <t>https://www.youtube.com/channel/UC6rmyCPRapkhAGRMGVxzb-Q</t>
        </is>
      </c>
      <c r="V103" s="26" t="inlineStr">
        <is>
          <t>https://www.youtube.com/channel/UC6rmyCPRapkhAGRMGVxzb-Q</t>
        </is>
      </c>
      <c r="W103" s="26" t="inlineStr">
        <is>
          <t>https://www.youtube.com/channel/UC6rmyCPRapkhAGRMGVxzb-Q</t>
        </is>
      </c>
      <c r="X103" s="34" t="inlineStr">
        <is>
          <t>2026-09-04</t>
        </is>
      </c>
      <c r="Y103" s="26" t="inlineStr">
        <is>
          <t>B</t>
        </is>
      </c>
      <c r="Z103" s="26" t="inlineStr">
        <is>
          <t>nan</t>
        </is>
      </c>
      <c r="AA103" s="26" t="inlineStr">
        <is>
          <t>Qualified</t>
        </is>
      </c>
      <c r="AB103" s="27" t="inlineStr"/>
      <c r="AC103" s="32" t="inlineStr">
        <is>
          <t>Passed</t>
        </is>
      </c>
      <c r="AD103" s="32" t="inlineStr">
        <is>
          <t>Passed</t>
        </is>
      </c>
    </row>
    <row r="104">
      <c r="A104" s="25" t="inlineStr">
        <is>
          <t>LEAD-0100</t>
        </is>
      </c>
      <c r="B104" s="26" t="inlineStr">
        <is>
          <t>Haddy Abdel</t>
        </is>
      </c>
      <c r="C104" s="26" t="inlineStr">
        <is>
          <t>Fitness</t>
        </is>
      </c>
      <c r="D104" s="26" t="inlineStr">
        <is>
          <t>US</t>
        </is>
      </c>
      <c r="E104" s="26" t="inlineStr">
        <is>
          <t>EN</t>
        </is>
      </c>
      <c r="F104" s="26" t="inlineStr">
        <is>
          <t>YouTube</t>
        </is>
      </c>
      <c r="G104" s="26" t="inlineStr">
        <is>
          <t>https://www.youtube.com/channel/UC4orTSLcC0JVsj2aOCZC6QA</t>
        </is>
      </c>
      <c r="H104" s="26" t="inlineStr">
        <is>
          <t>UC4orTSLcC0JVsj2aOCZC6QA</t>
        </is>
      </c>
      <c r="I104" s="26" t="inlineStr">
        <is>
          <t>https://www.youtube.com/channel/UC4orTSLcC0JVsj2aOCZC6QA</t>
        </is>
      </c>
      <c r="J104" s="37" t="n">
        <v>788000</v>
      </c>
      <c r="K104" s="34" t="inlineStr">
        <is>
          <t>2026-08-27</t>
        </is>
      </c>
      <c r="L104" s="26" t="inlineStr">
        <is>
          <t>https://www.youtube.com/channel/UC4orTSLcC0JVsj2aOCZC6QA</t>
        </is>
      </c>
      <c r="M104" s="37" t="n">
        <v>10</v>
      </c>
      <c r="N104" s="37" t="n">
        <v>20</v>
      </c>
      <c r="O104" s="26" t="inlineStr">
        <is>
          <t>Established channel: 788,000 subscribers, 432 videos published</t>
        </is>
      </c>
      <c r="P104" s="26" t="inlineStr">
        <is>
          <t>https://www.youtube.com/channel/UC4orTSLcC0JVsj2aOCZC6QA</t>
        </is>
      </c>
      <c r="Q104" s="26" t="inlineStr">
        <is>
          <t>Signals: shorts, high_upload_frequency</t>
        </is>
      </c>
      <c r="R104" s="26" t="inlineStr">
        <is>
          <t>https://www.youtube.com/channel/UC4orTSLcC0JVsj2aOCZC6QA</t>
        </is>
      </c>
      <c r="S104" s="26" t="inlineStr">
        <is>
          <t>email</t>
        </is>
      </c>
      <c r="T104" s="26" t="inlineStr">
        <is>
          <t>haddy@yaragroup.co</t>
        </is>
      </c>
      <c r="U104" s="26" t="inlineStr">
        <is>
          <t>https://www.youtube.com/channel/UC4orTSLcC0JVsj2aOCZC6QA</t>
        </is>
      </c>
      <c r="V104" s="26" t="inlineStr">
        <is>
          <t>https://www.youtube.com/channel/UC4orTSLcC0JVsj2aOCZC6QA</t>
        </is>
      </c>
      <c r="W104" s="26" t="inlineStr">
        <is>
          <t>https://www.youtube.com/channel/UC4orTSLcC0JVsj2aOCZC6QA</t>
        </is>
      </c>
      <c r="X104" s="34" t="inlineStr">
        <is>
          <t>2026-09-04</t>
        </is>
      </c>
      <c r="Y104" s="26" t="inlineStr">
        <is>
          <t>B</t>
        </is>
      </c>
      <c r="Z104" s="26" t="inlineStr">
        <is>
          <t>nan</t>
        </is>
      </c>
      <c r="AA104" s="26" t="inlineStr">
        <is>
          <t>Qualified</t>
        </is>
      </c>
      <c r="AB104" s="27" t="inlineStr"/>
      <c r="AC104" s="32" t="inlineStr">
        <is>
          <t>Passed</t>
        </is>
      </c>
      <c r="AD104" s="32" t="inlineStr">
        <is>
          <t>Passed</t>
        </is>
      </c>
    </row>
    <row r="105">
      <c r="A105" s="25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37" t="n"/>
      <c r="K105" s="34" t="n"/>
      <c r="L105" s="26" t="n"/>
      <c r="M105" s="37" t="n"/>
      <c r="N105" s="37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34" t="n"/>
      <c r="Y105" s="26" t="n"/>
      <c r="Z105" s="26" t="n"/>
      <c r="AA105" s="26" t="n"/>
      <c r="AB105" s="27" t="n"/>
      <c r="AC105" s="32">
        <f>IF(A105="","",IF(COUNTIF($H$5:$H$1004,H105)&gt;1,"DUPLICATE","UNIQUE"))</f>
        <v/>
      </c>
      <c r="AD105" s="32">
        <f>IF(A105="","",IF(AA105="Rejected",IF(AB105&lt;&gt;"","REJECTED","ADD REASON"),IF(AND(B105&lt;&gt;"",C105&lt;&gt;"",D105&lt;&gt;"",E105&lt;&gt;"",F105&lt;&gt;"",G105&lt;&gt;"",H105&lt;&gt;"",J105&lt;&gt;"",K105&lt;&gt;"",L105&lt;&gt;"",M105&lt;&gt;"",N105&lt;&gt;"",O105&lt;&gt;"",P105&lt;&gt;"",Q105&lt;&gt;"",R105&lt;&gt;"",S105&lt;&gt;"",T105&lt;&gt;"",U105&lt;&gt;"",V105&lt;&gt;"",W105&lt;&gt;"",X105&lt;&gt;"",Y105&lt;&gt;"",AC105="UNIQUE"),"READY","CHECK")))</f>
        <v/>
      </c>
    </row>
    <row r="106">
      <c r="A106" s="25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37" t="n"/>
      <c r="K106" s="34" t="n"/>
      <c r="L106" s="26" t="n"/>
      <c r="M106" s="37" t="n"/>
      <c r="N106" s="37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34" t="n"/>
      <c r="Y106" s="26" t="n"/>
      <c r="Z106" s="26" t="n"/>
      <c r="AA106" s="26" t="n"/>
      <c r="AB106" s="27" t="n"/>
      <c r="AC106" s="32">
        <f>IF(A106="","",IF(COUNTIF($H$5:$H$1004,H106)&gt;1,"DUPLICATE","UNIQUE"))</f>
        <v/>
      </c>
      <c r="AD106" s="32">
        <f>IF(A106="","",IF(AA106="Rejected",IF(AB106&lt;&gt;"","REJECTED","ADD REASON"),IF(AND(B106&lt;&gt;"",C106&lt;&gt;"",D106&lt;&gt;"",E106&lt;&gt;"",F106&lt;&gt;"",G106&lt;&gt;"",H106&lt;&gt;"",J106&lt;&gt;"",K106&lt;&gt;"",L106&lt;&gt;"",M106&lt;&gt;"",N106&lt;&gt;"",O106&lt;&gt;"",P106&lt;&gt;"",Q106&lt;&gt;"",R106&lt;&gt;"",S106&lt;&gt;"",T106&lt;&gt;"",U106&lt;&gt;"",V106&lt;&gt;"",W106&lt;&gt;"",X106&lt;&gt;"",Y106&lt;&gt;"",AC106="UNIQUE"),"READY","CHECK")))</f>
        <v/>
      </c>
    </row>
    <row r="107">
      <c r="A107" s="25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37" t="n"/>
      <c r="K107" s="34" t="n"/>
      <c r="L107" s="26" t="n"/>
      <c r="M107" s="37" t="n"/>
      <c r="N107" s="37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34" t="n"/>
      <c r="Y107" s="26" t="n"/>
      <c r="Z107" s="26" t="n"/>
      <c r="AA107" s="26" t="n"/>
      <c r="AB107" s="27" t="n"/>
      <c r="AC107" s="32">
        <f>IF(A107="","",IF(COUNTIF($H$5:$H$1004,H107)&gt;1,"DUPLICATE","UNIQUE"))</f>
        <v/>
      </c>
      <c r="AD107" s="32">
        <f>IF(A107="","",IF(AA107="Rejected",IF(AB107&lt;&gt;"","REJECTED","ADD REASON"),IF(AND(B107&lt;&gt;"",C107&lt;&gt;"",D107&lt;&gt;"",E107&lt;&gt;"",F107&lt;&gt;"",G107&lt;&gt;"",H107&lt;&gt;"",J107&lt;&gt;"",K107&lt;&gt;"",L107&lt;&gt;"",M107&lt;&gt;"",N107&lt;&gt;"",O107&lt;&gt;"",P107&lt;&gt;"",Q107&lt;&gt;"",R107&lt;&gt;"",S107&lt;&gt;"",T107&lt;&gt;"",U107&lt;&gt;"",V107&lt;&gt;"",W107&lt;&gt;"",X107&lt;&gt;"",Y107&lt;&gt;"",AC107="UNIQUE"),"READY","CHECK")))</f>
        <v/>
      </c>
    </row>
    <row r="108">
      <c r="A108" s="25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37" t="n"/>
      <c r="K108" s="34" t="n"/>
      <c r="L108" s="26" t="n"/>
      <c r="M108" s="37" t="n"/>
      <c r="N108" s="37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34" t="n"/>
      <c r="Y108" s="26" t="n"/>
      <c r="Z108" s="26" t="n"/>
      <c r="AA108" s="26" t="n"/>
      <c r="AB108" s="27" t="n"/>
      <c r="AC108" s="32">
        <f>IF(A108="","",IF(COUNTIF($H$5:$H$1004,H108)&gt;1,"DUPLICATE","UNIQUE"))</f>
        <v/>
      </c>
      <c r="AD108" s="32">
        <f>IF(A108="","",IF(AA108="Rejected",IF(AB108&lt;&gt;"","REJECTED","ADD REASON"),IF(AND(B108&lt;&gt;"",C108&lt;&gt;"",D108&lt;&gt;"",E108&lt;&gt;"",F108&lt;&gt;"",G108&lt;&gt;"",H108&lt;&gt;"",J108&lt;&gt;"",K108&lt;&gt;"",L108&lt;&gt;"",M108&lt;&gt;"",N108&lt;&gt;"",O108&lt;&gt;"",P108&lt;&gt;"",Q108&lt;&gt;"",R108&lt;&gt;"",S108&lt;&gt;"",T108&lt;&gt;"",U108&lt;&gt;"",V108&lt;&gt;"",W108&lt;&gt;"",X108&lt;&gt;"",Y108&lt;&gt;"",AC108="UNIQUE"),"READY","CHECK")))</f>
        <v/>
      </c>
    </row>
    <row r="109">
      <c r="A109" s="25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37" t="n"/>
      <c r="K109" s="34" t="n"/>
      <c r="L109" s="26" t="n"/>
      <c r="M109" s="37" t="n"/>
      <c r="N109" s="37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34" t="n"/>
      <c r="Y109" s="26" t="n"/>
      <c r="Z109" s="26" t="n"/>
      <c r="AA109" s="26" t="n"/>
      <c r="AB109" s="27" t="n"/>
      <c r="AC109" s="32">
        <f>IF(A109="","",IF(COUNTIF($H$5:$H$1004,H109)&gt;1,"DUPLICATE","UNIQUE"))</f>
        <v/>
      </c>
      <c r="AD109" s="32">
        <f>IF(A109="","",IF(AA109="Rejected",IF(AB109&lt;&gt;"","REJECTED","ADD REASON"),IF(AND(B109&lt;&gt;"",C109&lt;&gt;"",D109&lt;&gt;"",E109&lt;&gt;"",F109&lt;&gt;"",G109&lt;&gt;"",H109&lt;&gt;"",J109&lt;&gt;"",K109&lt;&gt;"",L109&lt;&gt;"",M109&lt;&gt;"",N109&lt;&gt;"",O109&lt;&gt;"",P109&lt;&gt;"",Q109&lt;&gt;"",R109&lt;&gt;"",S109&lt;&gt;"",T109&lt;&gt;"",U109&lt;&gt;"",V109&lt;&gt;"",W109&lt;&gt;"",X109&lt;&gt;"",Y109&lt;&gt;"",AC109="UNIQUE"),"READY","CHECK")))</f>
        <v/>
      </c>
    </row>
    <row r="110">
      <c r="A110" s="25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37" t="n"/>
      <c r="K110" s="34" t="n"/>
      <c r="L110" s="26" t="n"/>
      <c r="M110" s="37" t="n"/>
      <c r="N110" s="37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34" t="n"/>
      <c r="Y110" s="26" t="n"/>
      <c r="Z110" s="26" t="n"/>
      <c r="AA110" s="26" t="n"/>
      <c r="AB110" s="27" t="n"/>
      <c r="AC110" s="32">
        <f>IF(A110="","",IF(COUNTIF($H$5:$H$1004,H110)&gt;1,"DUPLICATE","UNIQUE"))</f>
        <v/>
      </c>
      <c r="AD110" s="32">
        <f>IF(A110="","",IF(AA110="Rejected",IF(AB110&lt;&gt;"","REJECTED","ADD REASON"),IF(AND(B110&lt;&gt;"",C110&lt;&gt;"",D110&lt;&gt;"",E110&lt;&gt;"",F110&lt;&gt;"",G110&lt;&gt;"",H110&lt;&gt;"",J110&lt;&gt;"",K110&lt;&gt;"",L110&lt;&gt;"",M110&lt;&gt;"",N110&lt;&gt;"",O110&lt;&gt;"",P110&lt;&gt;"",Q110&lt;&gt;"",R110&lt;&gt;"",S110&lt;&gt;"",T110&lt;&gt;"",U110&lt;&gt;"",V110&lt;&gt;"",W110&lt;&gt;"",X110&lt;&gt;"",Y110&lt;&gt;"",AC110="UNIQUE"),"READY","CHECK")))</f>
        <v/>
      </c>
    </row>
    <row r="111">
      <c r="A111" s="25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37" t="n"/>
      <c r="K111" s="34" t="n"/>
      <c r="L111" s="26" t="n"/>
      <c r="M111" s="37" t="n"/>
      <c r="N111" s="37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34" t="n"/>
      <c r="Y111" s="26" t="n"/>
      <c r="Z111" s="26" t="n"/>
      <c r="AA111" s="26" t="n"/>
      <c r="AB111" s="27" t="n"/>
      <c r="AC111" s="32">
        <f>IF(A111="","",IF(COUNTIF($H$5:$H$1004,H111)&gt;1,"DUPLICATE","UNIQUE"))</f>
        <v/>
      </c>
      <c r="AD111" s="32">
        <f>IF(A111="","",IF(AA111="Rejected",IF(AB111&lt;&gt;"","REJECTED","ADD REASON"),IF(AND(B111&lt;&gt;"",C111&lt;&gt;"",D111&lt;&gt;"",E111&lt;&gt;"",F111&lt;&gt;"",G111&lt;&gt;"",H111&lt;&gt;"",J111&lt;&gt;"",K111&lt;&gt;"",L111&lt;&gt;"",M111&lt;&gt;"",N111&lt;&gt;"",O111&lt;&gt;"",P111&lt;&gt;"",Q111&lt;&gt;"",R111&lt;&gt;"",S111&lt;&gt;"",T111&lt;&gt;"",U111&lt;&gt;"",V111&lt;&gt;"",W111&lt;&gt;"",X111&lt;&gt;"",Y111&lt;&gt;"",AC111="UNIQUE"),"READY","CHECK")))</f>
        <v/>
      </c>
    </row>
    <row r="112">
      <c r="A112" s="25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37" t="n"/>
      <c r="K112" s="34" t="n"/>
      <c r="L112" s="26" t="n"/>
      <c r="M112" s="37" t="n"/>
      <c r="N112" s="37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34" t="n"/>
      <c r="Y112" s="26" t="n"/>
      <c r="Z112" s="26" t="n"/>
      <c r="AA112" s="26" t="n"/>
      <c r="AB112" s="27" t="n"/>
      <c r="AC112" s="32">
        <f>IF(A112="","",IF(COUNTIF($H$5:$H$1004,H112)&gt;1,"DUPLICATE","UNIQUE"))</f>
        <v/>
      </c>
      <c r="AD112" s="32">
        <f>IF(A112="","",IF(AA112="Rejected",IF(AB112&lt;&gt;"","REJECTED","ADD REASON"),IF(AND(B112&lt;&gt;"",C112&lt;&gt;"",D112&lt;&gt;"",E112&lt;&gt;"",F112&lt;&gt;"",G112&lt;&gt;"",H112&lt;&gt;"",J112&lt;&gt;"",K112&lt;&gt;"",L112&lt;&gt;"",M112&lt;&gt;"",N112&lt;&gt;"",O112&lt;&gt;"",P112&lt;&gt;"",Q112&lt;&gt;"",R112&lt;&gt;"",S112&lt;&gt;"",T112&lt;&gt;"",U112&lt;&gt;"",V112&lt;&gt;"",W112&lt;&gt;"",X112&lt;&gt;"",Y112&lt;&gt;"",AC112="UNIQUE"),"READY","CHECK")))</f>
        <v/>
      </c>
    </row>
    <row r="113">
      <c r="A113" s="25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37" t="n"/>
      <c r="K113" s="34" t="n"/>
      <c r="L113" s="26" t="n"/>
      <c r="M113" s="37" t="n"/>
      <c r="N113" s="37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34" t="n"/>
      <c r="Y113" s="26" t="n"/>
      <c r="Z113" s="26" t="n"/>
      <c r="AA113" s="26" t="n"/>
      <c r="AB113" s="27" t="n"/>
      <c r="AC113" s="32">
        <f>IF(A113="","",IF(COUNTIF($H$5:$H$1004,H113)&gt;1,"DUPLICATE","UNIQUE"))</f>
        <v/>
      </c>
      <c r="AD113" s="32">
        <f>IF(A113="","",IF(AA113="Rejected",IF(AB113&lt;&gt;"","REJECTED","ADD REASON"),IF(AND(B113&lt;&gt;"",C113&lt;&gt;"",D113&lt;&gt;"",E113&lt;&gt;"",F113&lt;&gt;"",G113&lt;&gt;"",H113&lt;&gt;"",J113&lt;&gt;"",K113&lt;&gt;"",L113&lt;&gt;"",M113&lt;&gt;"",N113&lt;&gt;"",O113&lt;&gt;"",P113&lt;&gt;"",Q113&lt;&gt;"",R113&lt;&gt;"",S113&lt;&gt;"",T113&lt;&gt;"",U113&lt;&gt;"",V113&lt;&gt;"",W113&lt;&gt;"",X113&lt;&gt;"",Y113&lt;&gt;"",AC113="UNIQUE"),"READY","CHECK")))</f>
        <v/>
      </c>
    </row>
    <row r="114">
      <c r="A114" s="25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37" t="n"/>
      <c r="K114" s="34" t="n"/>
      <c r="L114" s="26" t="n"/>
      <c r="M114" s="37" t="n"/>
      <c r="N114" s="37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34" t="n"/>
      <c r="Y114" s="26" t="n"/>
      <c r="Z114" s="26" t="n"/>
      <c r="AA114" s="26" t="n"/>
      <c r="AB114" s="27" t="n"/>
      <c r="AC114" s="32">
        <f>IF(A114="","",IF(COUNTIF($H$5:$H$1004,H114)&gt;1,"DUPLICATE","UNIQUE"))</f>
        <v/>
      </c>
      <c r="AD114" s="32">
        <f>IF(A114="","",IF(AA114="Rejected",IF(AB114&lt;&gt;"","REJECTED","ADD REASON"),IF(AND(B114&lt;&gt;"",C114&lt;&gt;"",D114&lt;&gt;"",E114&lt;&gt;"",F114&lt;&gt;"",G114&lt;&gt;"",H114&lt;&gt;"",J114&lt;&gt;"",K114&lt;&gt;"",L114&lt;&gt;"",M114&lt;&gt;"",N114&lt;&gt;"",O114&lt;&gt;"",P114&lt;&gt;"",Q114&lt;&gt;"",R114&lt;&gt;"",S114&lt;&gt;"",T114&lt;&gt;"",U114&lt;&gt;"",V114&lt;&gt;"",W114&lt;&gt;"",X114&lt;&gt;"",Y114&lt;&gt;"",AC114="UNIQUE"),"READY","CHECK")))</f>
        <v/>
      </c>
    </row>
    <row r="115">
      <c r="A115" s="25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37" t="n"/>
      <c r="K115" s="34" t="n"/>
      <c r="L115" s="26" t="n"/>
      <c r="M115" s="37" t="n"/>
      <c r="N115" s="37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34" t="n"/>
      <c r="Y115" s="26" t="n"/>
      <c r="Z115" s="26" t="n"/>
      <c r="AA115" s="26" t="n"/>
      <c r="AB115" s="27" t="n"/>
      <c r="AC115" s="32">
        <f>IF(A115="","",IF(COUNTIF($H$5:$H$1004,H115)&gt;1,"DUPLICATE","UNIQUE"))</f>
        <v/>
      </c>
      <c r="AD115" s="32">
        <f>IF(A115="","",IF(AA115="Rejected",IF(AB115&lt;&gt;"","REJECTED","ADD REASON"),IF(AND(B115&lt;&gt;"",C115&lt;&gt;"",D115&lt;&gt;"",E115&lt;&gt;"",F115&lt;&gt;"",G115&lt;&gt;"",H115&lt;&gt;"",J115&lt;&gt;"",K115&lt;&gt;"",L115&lt;&gt;"",M115&lt;&gt;"",N115&lt;&gt;"",O115&lt;&gt;"",P115&lt;&gt;"",Q115&lt;&gt;"",R115&lt;&gt;"",S115&lt;&gt;"",T115&lt;&gt;"",U115&lt;&gt;"",V115&lt;&gt;"",W115&lt;&gt;"",X115&lt;&gt;"",Y115&lt;&gt;"",AC115="UNIQUE"),"READY","CHECK")))</f>
        <v/>
      </c>
    </row>
    <row r="116">
      <c r="A116" s="25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37" t="n"/>
      <c r="K116" s="34" t="n"/>
      <c r="L116" s="26" t="n"/>
      <c r="M116" s="37" t="n"/>
      <c r="N116" s="37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34" t="n"/>
      <c r="Y116" s="26" t="n"/>
      <c r="Z116" s="26" t="n"/>
      <c r="AA116" s="26" t="n"/>
      <c r="AB116" s="27" t="n"/>
      <c r="AC116" s="32">
        <f>IF(A116="","",IF(COUNTIF($H$5:$H$1004,H116)&gt;1,"DUPLICATE","UNIQUE"))</f>
        <v/>
      </c>
      <c r="AD116" s="32">
        <f>IF(A116="","",IF(AA116="Rejected",IF(AB116&lt;&gt;"","REJECTED","ADD REASON"),IF(AND(B116&lt;&gt;"",C116&lt;&gt;"",D116&lt;&gt;"",E116&lt;&gt;"",F116&lt;&gt;"",G116&lt;&gt;"",H116&lt;&gt;"",J116&lt;&gt;"",K116&lt;&gt;"",L116&lt;&gt;"",M116&lt;&gt;"",N116&lt;&gt;"",O116&lt;&gt;"",P116&lt;&gt;"",Q116&lt;&gt;"",R116&lt;&gt;"",S116&lt;&gt;"",T116&lt;&gt;"",U116&lt;&gt;"",V116&lt;&gt;"",W116&lt;&gt;"",X116&lt;&gt;"",Y116&lt;&gt;"",AC116="UNIQUE"),"READY","CHECK")))</f>
        <v/>
      </c>
    </row>
    <row r="117">
      <c r="A117" s="25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37" t="n"/>
      <c r="K117" s="34" t="n"/>
      <c r="L117" s="26" t="n"/>
      <c r="M117" s="37" t="n"/>
      <c r="N117" s="37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34" t="n"/>
      <c r="Y117" s="26" t="n"/>
      <c r="Z117" s="26" t="n"/>
      <c r="AA117" s="26" t="n"/>
      <c r="AB117" s="27" t="n"/>
      <c r="AC117" s="32">
        <f>IF(A117="","",IF(COUNTIF($H$5:$H$1004,H117)&gt;1,"DUPLICATE","UNIQUE"))</f>
        <v/>
      </c>
      <c r="AD117" s="32">
        <f>IF(A117="","",IF(AA117="Rejected",IF(AB117&lt;&gt;"","REJECTED","ADD REASON"),IF(AND(B117&lt;&gt;"",C117&lt;&gt;"",D117&lt;&gt;"",E117&lt;&gt;"",F117&lt;&gt;"",G117&lt;&gt;"",H117&lt;&gt;"",J117&lt;&gt;"",K117&lt;&gt;"",L117&lt;&gt;"",M117&lt;&gt;"",N117&lt;&gt;"",O117&lt;&gt;"",P117&lt;&gt;"",Q117&lt;&gt;"",R117&lt;&gt;"",S117&lt;&gt;"",T117&lt;&gt;"",U117&lt;&gt;"",V117&lt;&gt;"",W117&lt;&gt;"",X117&lt;&gt;"",Y117&lt;&gt;"",AC117="UNIQUE"),"READY","CHECK")))</f>
        <v/>
      </c>
    </row>
    <row r="118">
      <c r="A118" s="25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37" t="n"/>
      <c r="K118" s="34" t="n"/>
      <c r="L118" s="26" t="n"/>
      <c r="M118" s="37" t="n"/>
      <c r="N118" s="37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34" t="n"/>
      <c r="Y118" s="26" t="n"/>
      <c r="Z118" s="26" t="n"/>
      <c r="AA118" s="26" t="n"/>
      <c r="AB118" s="27" t="n"/>
      <c r="AC118" s="32">
        <f>IF(A118="","",IF(COUNTIF($H$5:$H$1004,H118)&gt;1,"DUPLICATE","UNIQUE"))</f>
        <v/>
      </c>
      <c r="AD118" s="32">
        <f>IF(A118="","",IF(AA118="Rejected",IF(AB118&lt;&gt;"","REJECTED","ADD REASON"),IF(AND(B118&lt;&gt;"",C118&lt;&gt;"",D118&lt;&gt;"",E118&lt;&gt;"",F118&lt;&gt;"",G118&lt;&gt;"",H118&lt;&gt;"",J118&lt;&gt;"",K118&lt;&gt;"",L118&lt;&gt;"",M118&lt;&gt;"",N118&lt;&gt;"",O118&lt;&gt;"",P118&lt;&gt;"",Q118&lt;&gt;"",R118&lt;&gt;"",S118&lt;&gt;"",T118&lt;&gt;"",U118&lt;&gt;"",V118&lt;&gt;"",W118&lt;&gt;"",X118&lt;&gt;"",Y118&lt;&gt;"",AC118="UNIQUE"),"READY","CHECK")))</f>
        <v/>
      </c>
    </row>
    <row r="119">
      <c r="A119" s="25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37" t="n"/>
      <c r="K119" s="34" t="n"/>
      <c r="L119" s="26" t="n"/>
      <c r="M119" s="37" t="n"/>
      <c r="N119" s="37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34" t="n"/>
      <c r="Y119" s="26" t="n"/>
      <c r="Z119" s="26" t="n"/>
      <c r="AA119" s="26" t="n"/>
      <c r="AB119" s="27" t="n"/>
      <c r="AC119" s="32">
        <f>IF(A119="","",IF(COUNTIF($H$5:$H$1004,H119)&gt;1,"DUPLICATE","UNIQUE"))</f>
        <v/>
      </c>
      <c r="AD119" s="32">
        <f>IF(A119="","",IF(AA119="Rejected",IF(AB119&lt;&gt;"","REJECTED","ADD REASON"),IF(AND(B119&lt;&gt;"",C119&lt;&gt;"",D119&lt;&gt;"",E119&lt;&gt;"",F119&lt;&gt;"",G119&lt;&gt;"",H119&lt;&gt;"",J119&lt;&gt;"",K119&lt;&gt;"",L119&lt;&gt;"",M119&lt;&gt;"",N119&lt;&gt;"",O119&lt;&gt;"",P119&lt;&gt;"",Q119&lt;&gt;"",R119&lt;&gt;"",S119&lt;&gt;"",T119&lt;&gt;"",U119&lt;&gt;"",V119&lt;&gt;"",W119&lt;&gt;"",X119&lt;&gt;"",Y119&lt;&gt;"",AC119="UNIQUE"),"READY","CHECK")))</f>
        <v/>
      </c>
    </row>
    <row r="120">
      <c r="A120" s="25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37" t="n"/>
      <c r="K120" s="34" t="n"/>
      <c r="L120" s="26" t="n"/>
      <c r="M120" s="37" t="n"/>
      <c r="N120" s="37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34" t="n"/>
      <c r="Y120" s="26" t="n"/>
      <c r="Z120" s="26" t="n"/>
      <c r="AA120" s="26" t="n"/>
      <c r="AB120" s="27" t="n"/>
      <c r="AC120" s="32">
        <f>IF(A120="","",IF(COUNTIF($H$5:$H$1004,H120)&gt;1,"DUPLICATE","UNIQUE"))</f>
        <v/>
      </c>
      <c r="AD120" s="32">
        <f>IF(A120="","",IF(AA120="Rejected",IF(AB120&lt;&gt;"","REJECTED","ADD REASON"),IF(AND(B120&lt;&gt;"",C120&lt;&gt;"",D120&lt;&gt;"",E120&lt;&gt;"",F120&lt;&gt;"",G120&lt;&gt;"",H120&lt;&gt;"",J120&lt;&gt;"",K120&lt;&gt;"",L120&lt;&gt;"",M120&lt;&gt;"",N120&lt;&gt;"",O120&lt;&gt;"",P120&lt;&gt;"",Q120&lt;&gt;"",R120&lt;&gt;"",S120&lt;&gt;"",T120&lt;&gt;"",U120&lt;&gt;"",V120&lt;&gt;"",W120&lt;&gt;"",X120&lt;&gt;"",Y120&lt;&gt;"",AC120="UNIQUE"),"READY","CHECK")))</f>
        <v/>
      </c>
    </row>
    <row r="121">
      <c r="A121" s="25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37" t="n"/>
      <c r="K121" s="34" t="n"/>
      <c r="L121" s="26" t="n"/>
      <c r="M121" s="37" t="n"/>
      <c r="N121" s="37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34" t="n"/>
      <c r="Y121" s="26" t="n"/>
      <c r="Z121" s="26" t="n"/>
      <c r="AA121" s="26" t="n"/>
      <c r="AB121" s="27" t="n"/>
      <c r="AC121" s="32">
        <f>IF(A121="","",IF(COUNTIF($H$5:$H$1004,H121)&gt;1,"DUPLICATE","UNIQUE"))</f>
        <v/>
      </c>
      <c r="AD121" s="32">
        <f>IF(A121="","",IF(AA121="Rejected",IF(AB121&lt;&gt;"","REJECTED","ADD REASON"),IF(AND(B121&lt;&gt;"",C121&lt;&gt;"",D121&lt;&gt;"",E121&lt;&gt;"",F121&lt;&gt;"",G121&lt;&gt;"",H121&lt;&gt;"",J121&lt;&gt;"",K121&lt;&gt;"",L121&lt;&gt;"",M121&lt;&gt;"",N121&lt;&gt;"",O121&lt;&gt;"",P121&lt;&gt;"",Q121&lt;&gt;"",R121&lt;&gt;"",S121&lt;&gt;"",T121&lt;&gt;"",U121&lt;&gt;"",V121&lt;&gt;"",W121&lt;&gt;"",X121&lt;&gt;"",Y121&lt;&gt;"",AC121="UNIQUE"),"READY","CHECK")))</f>
        <v/>
      </c>
    </row>
    <row r="122">
      <c r="A122" s="25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37" t="n"/>
      <c r="K122" s="34" t="n"/>
      <c r="L122" s="26" t="n"/>
      <c r="M122" s="37" t="n"/>
      <c r="N122" s="37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34" t="n"/>
      <c r="Y122" s="26" t="n"/>
      <c r="Z122" s="26" t="n"/>
      <c r="AA122" s="26" t="n"/>
      <c r="AB122" s="27" t="n"/>
      <c r="AC122" s="32">
        <f>IF(A122="","",IF(COUNTIF($H$5:$H$1004,H122)&gt;1,"DUPLICATE","UNIQUE"))</f>
        <v/>
      </c>
      <c r="AD122" s="32">
        <f>IF(A122="","",IF(AA122="Rejected",IF(AB122&lt;&gt;"","REJECTED","ADD REASON"),IF(AND(B122&lt;&gt;"",C122&lt;&gt;"",D122&lt;&gt;"",E122&lt;&gt;"",F122&lt;&gt;"",G122&lt;&gt;"",H122&lt;&gt;"",J122&lt;&gt;"",K122&lt;&gt;"",L122&lt;&gt;"",M122&lt;&gt;"",N122&lt;&gt;"",O122&lt;&gt;"",P122&lt;&gt;"",Q122&lt;&gt;"",R122&lt;&gt;"",S122&lt;&gt;"",T122&lt;&gt;"",U122&lt;&gt;"",V122&lt;&gt;"",W122&lt;&gt;"",X122&lt;&gt;"",Y122&lt;&gt;"",AC122="UNIQUE"),"READY","CHECK")))</f>
        <v/>
      </c>
    </row>
    <row r="123">
      <c r="A123" s="25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37" t="n"/>
      <c r="K123" s="34" t="n"/>
      <c r="L123" s="26" t="n"/>
      <c r="M123" s="37" t="n"/>
      <c r="N123" s="37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34" t="n"/>
      <c r="Y123" s="26" t="n"/>
      <c r="Z123" s="26" t="n"/>
      <c r="AA123" s="26" t="n"/>
      <c r="AB123" s="27" t="n"/>
      <c r="AC123" s="32">
        <f>IF(A123="","",IF(COUNTIF($H$5:$H$1004,H123)&gt;1,"DUPLICATE","UNIQUE"))</f>
        <v/>
      </c>
      <c r="AD123" s="32">
        <f>IF(A123="","",IF(AA123="Rejected",IF(AB123&lt;&gt;"","REJECTED","ADD REASON"),IF(AND(B123&lt;&gt;"",C123&lt;&gt;"",D123&lt;&gt;"",E123&lt;&gt;"",F123&lt;&gt;"",G123&lt;&gt;"",H123&lt;&gt;"",J123&lt;&gt;"",K123&lt;&gt;"",L123&lt;&gt;"",M123&lt;&gt;"",N123&lt;&gt;"",O123&lt;&gt;"",P123&lt;&gt;"",Q123&lt;&gt;"",R123&lt;&gt;"",S123&lt;&gt;"",T123&lt;&gt;"",U123&lt;&gt;"",V123&lt;&gt;"",W123&lt;&gt;"",X123&lt;&gt;"",Y123&lt;&gt;"",AC123="UNIQUE"),"READY","CHECK")))</f>
        <v/>
      </c>
    </row>
    <row r="124">
      <c r="A124" s="25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37" t="n"/>
      <c r="K124" s="34" t="n"/>
      <c r="L124" s="26" t="n"/>
      <c r="M124" s="37" t="n"/>
      <c r="N124" s="37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34" t="n"/>
      <c r="Y124" s="26" t="n"/>
      <c r="Z124" s="26" t="n"/>
      <c r="AA124" s="26" t="n"/>
      <c r="AB124" s="27" t="n"/>
      <c r="AC124" s="32">
        <f>IF(A124="","",IF(COUNTIF($H$5:$H$1004,H124)&gt;1,"DUPLICATE","UNIQUE"))</f>
        <v/>
      </c>
      <c r="AD124" s="32">
        <f>IF(A124="","",IF(AA124="Rejected",IF(AB124&lt;&gt;"","REJECTED","ADD REASON"),IF(AND(B124&lt;&gt;"",C124&lt;&gt;"",D124&lt;&gt;"",E124&lt;&gt;"",F124&lt;&gt;"",G124&lt;&gt;"",H124&lt;&gt;"",J124&lt;&gt;"",K124&lt;&gt;"",L124&lt;&gt;"",M124&lt;&gt;"",N124&lt;&gt;"",O124&lt;&gt;"",P124&lt;&gt;"",Q124&lt;&gt;"",R124&lt;&gt;"",S124&lt;&gt;"",T124&lt;&gt;"",U124&lt;&gt;"",V124&lt;&gt;"",W124&lt;&gt;"",X124&lt;&gt;"",Y124&lt;&gt;"",AC124="UNIQUE"),"READY","CHECK")))</f>
        <v/>
      </c>
    </row>
    <row r="125">
      <c r="A125" s="25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37" t="n"/>
      <c r="K125" s="34" t="n"/>
      <c r="L125" s="26" t="n"/>
      <c r="M125" s="37" t="n"/>
      <c r="N125" s="37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34" t="n"/>
      <c r="Y125" s="26" t="n"/>
      <c r="Z125" s="26" t="n"/>
      <c r="AA125" s="26" t="n"/>
      <c r="AB125" s="27" t="n"/>
      <c r="AC125" s="32">
        <f>IF(A125="","",IF(COUNTIF($H$5:$H$1004,H125)&gt;1,"DUPLICATE","UNIQUE"))</f>
        <v/>
      </c>
      <c r="AD125" s="32">
        <f>IF(A125="","",IF(AA125="Rejected",IF(AB125&lt;&gt;"","REJECTED","ADD REASON"),IF(AND(B125&lt;&gt;"",C125&lt;&gt;"",D125&lt;&gt;"",E125&lt;&gt;"",F125&lt;&gt;"",G125&lt;&gt;"",H125&lt;&gt;"",J125&lt;&gt;"",K125&lt;&gt;"",L125&lt;&gt;"",M125&lt;&gt;"",N125&lt;&gt;"",O125&lt;&gt;"",P125&lt;&gt;"",Q125&lt;&gt;"",R125&lt;&gt;"",S125&lt;&gt;"",T125&lt;&gt;"",U125&lt;&gt;"",V125&lt;&gt;"",W125&lt;&gt;"",X125&lt;&gt;"",Y125&lt;&gt;"",AC125="UNIQUE"),"READY","CHECK")))</f>
        <v/>
      </c>
    </row>
    <row r="126">
      <c r="A126" s="25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37" t="n"/>
      <c r="K126" s="34" t="n"/>
      <c r="L126" s="26" t="n"/>
      <c r="M126" s="37" t="n"/>
      <c r="N126" s="37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34" t="n"/>
      <c r="Y126" s="26" t="n"/>
      <c r="Z126" s="26" t="n"/>
      <c r="AA126" s="26" t="n"/>
      <c r="AB126" s="27" t="n"/>
      <c r="AC126" s="32">
        <f>IF(A126="","",IF(COUNTIF($H$5:$H$1004,H126)&gt;1,"DUPLICATE","UNIQUE"))</f>
        <v/>
      </c>
      <c r="AD126" s="32">
        <f>IF(A126="","",IF(AA126="Rejected",IF(AB126&lt;&gt;"","REJECTED","ADD REASON"),IF(AND(B126&lt;&gt;"",C126&lt;&gt;"",D126&lt;&gt;"",E126&lt;&gt;"",F126&lt;&gt;"",G126&lt;&gt;"",H126&lt;&gt;"",J126&lt;&gt;"",K126&lt;&gt;"",L126&lt;&gt;"",M126&lt;&gt;"",N126&lt;&gt;"",O126&lt;&gt;"",P126&lt;&gt;"",Q126&lt;&gt;"",R126&lt;&gt;"",S126&lt;&gt;"",T126&lt;&gt;"",U126&lt;&gt;"",V126&lt;&gt;"",W126&lt;&gt;"",X126&lt;&gt;"",Y126&lt;&gt;"",AC126="UNIQUE"),"READY","CHECK")))</f>
        <v/>
      </c>
    </row>
    <row r="127">
      <c r="A127" s="25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37" t="n"/>
      <c r="K127" s="34" t="n"/>
      <c r="L127" s="26" t="n"/>
      <c r="M127" s="37" t="n"/>
      <c r="N127" s="37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34" t="n"/>
      <c r="Y127" s="26" t="n"/>
      <c r="Z127" s="26" t="n"/>
      <c r="AA127" s="26" t="n"/>
      <c r="AB127" s="27" t="n"/>
      <c r="AC127" s="32">
        <f>IF(A127="","",IF(COUNTIF($H$5:$H$1004,H127)&gt;1,"DUPLICATE","UNIQUE"))</f>
        <v/>
      </c>
      <c r="AD127" s="32">
        <f>IF(A127="","",IF(AA127="Rejected",IF(AB127&lt;&gt;"","REJECTED","ADD REASON"),IF(AND(B127&lt;&gt;"",C127&lt;&gt;"",D127&lt;&gt;"",E127&lt;&gt;"",F127&lt;&gt;"",G127&lt;&gt;"",H127&lt;&gt;"",J127&lt;&gt;"",K127&lt;&gt;"",L127&lt;&gt;"",M127&lt;&gt;"",N127&lt;&gt;"",O127&lt;&gt;"",P127&lt;&gt;"",Q127&lt;&gt;"",R127&lt;&gt;"",S127&lt;&gt;"",T127&lt;&gt;"",U127&lt;&gt;"",V127&lt;&gt;"",W127&lt;&gt;"",X127&lt;&gt;"",Y127&lt;&gt;"",AC127="UNIQUE"),"READY","CHECK")))</f>
        <v/>
      </c>
    </row>
    <row r="128">
      <c r="A128" s="25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37" t="n"/>
      <c r="K128" s="34" t="n"/>
      <c r="L128" s="26" t="n"/>
      <c r="M128" s="37" t="n"/>
      <c r="N128" s="37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34" t="n"/>
      <c r="Y128" s="26" t="n"/>
      <c r="Z128" s="26" t="n"/>
      <c r="AA128" s="26" t="n"/>
      <c r="AB128" s="27" t="n"/>
      <c r="AC128" s="32">
        <f>IF(A128="","",IF(COUNTIF($H$5:$H$1004,H128)&gt;1,"DUPLICATE","UNIQUE"))</f>
        <v/>
      </c>
      <c r="AD128" s="32">
        <f>IF(A128="","",IF(AA128="Rejected",IF(AB128&lt;&gt;"","REJECTED","ADD REASON"),IF(AND(B128&lt;&gt;"",C128&lt;&gt;"",D128&lt;&gt;"",E128&lt;&gt;"",F128&lt;&gt;"",G128&lt;&gt;"",H128&lt;&gt;"",J128&lt;&gt;"",K128&lt;&gt;"",L128&lt;&gt;"",M128&lt;&gt;"",N128&lt;&gt;"",O128&lt;&gt;"",P128&lt;&gt;"",Q128&lt;&gt;"",R128&lt;&gt;"",S128&lt;&gt;"",T128&lt;&gt;"",U128&lt;&gt;"",V128&lt;&gt;"",W128&lt;&gt;"",X128&lt;&gt;"",Y128&lt;&gt;"",AC128="UNIQUE"),"READY","CHECK")))</f>
        <v/>
      </c>
    </row>
    <row r="129">
      <c r="A129" s="25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37" t="n"/>
      <c r="K129" s="34" t="n"/>
      <c r="L129" s="26" t="n"/>
      <c r="M129" s="37" t="n"/>
      <c r="N129" s="37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34" t="n"/>
      <c r="Y129" s="26" t="n"/>
      <c r="Z129" s="26" t="n"/>
      <c r="AA129" s="26" t="n"/>
      <c r="AB129" s="27" t="n"/>
      <c r="AC129" s="32">
        <f>IF(A129="","",IF(COUNTIF($H$5:$H$1004,H129)&gt;1,"DUPLICATE","UNIQUE"))</f>
        <v/>
      </c>
      <c r="AD129" s="32">
        <f>IF(A129="","",IF(AA129="Rejected",IF(AB129&lt;&gt;"","REJECTED","ADD REASON"),IF(AND(B129&lt;&gt;"",C129&lt;&gt;"",D129&lt;&gt;"",E129&lt;&gt;"",F129&lt;&gt;"",G129&lt;&gt;"",H129&lt;&gt;"",J129&lt;&gt;"",K129&lt;&gt;"",L129&lt;&gt;"",M129&lt;&gt;"",N129&lt;&gt;"",O129&lt;&gt;"",P129&lt;&gt;"",Q129&lt;&gt;"",R129&lt;&gt;"",S129&lt;&gt;"",T129&lt;&gt;"",U129&lt;&gt;"",V129&lt;&gt;"",W129&lt;&gt;"",X129&lt;&gt;"",Y129&lt;&gt;"",AC129="UNIQUE"),"READY","CHECK")))</f>
        <v/>
      </c>
    </row>
    <row r="130">
      <c r="A130" s="25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37" t="n"/>
      <c r="K130" s="34" t="n"/>
      <c r="L130" s="26" t="n"/>
      <c r="M130" s="37" t="n"/>
      <c r="N130" s="37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34" t="n"/>
      <c r="Y130" s="26" t="n"/>
      <c r="Z130" s="26" t="n"/>
      <c r="AA130" s="26" t="n"/>
      <c r="AB130" s="27" t="n"/>
      <c r="AC130" s="32">
        <f>IF(A130="","",IF(COUNTIF($H$5:$H$1004,H130)&gt;1,"DUPLICATE","UNIQUE"))</f>
        <v/>
      </c>
      <c r="AD130" s="32">
        <f>IF(A130="","",IF(AA130="Rejected",IF(AB130&lt;&gt;"","REJECTED","ADD REASON"),IF(AND(B130&lt;&gt;"",C130&lt;&gt;"",D130&lt;&gt;"",E130&lt;&gt;"",F130&lt;&gt;"",G130&lt;&gt;"",H130&lt;&gt;"",J130&lt;&gt;"",K130&lt;&gt;"",L130&lt;&gt;"",M130&lt;&gt;"",N130&lt;&gt;"",O130&lt;&gt;"",P130&lt;&gt;"",Q130&lt;&gt;"",R130&lt;&gt;"",S130&lt;&gt;"",T130&lt;&gt;"",U130&lt;&gt;"",V130&lt;&gt;"",W130&lt;&gt;"",X130&lt;&gt;"",Y130&lt;&gt;"",AC130="UNIQUE"),"READY","CHECK")))</f>
        <v/>
      </c>
    </row>
    <row r="131">
      <c r="A131" s="25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37" t="n"/>
      <c r="K131" s="34" t="n"/>
      <c r="L131" s="26" t="n"/>
      <c r="M131" s="37" t="n"/>
      <c r="N131" s="37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34" t="n"/>
      <c r="Y131" s="26" t="n"/>
      <c r="Z131" s="26" t="n"/>
      <c r="AA131" s="26" t="n"/>
      <c r="AB131" s="27" t="n"/>
      <c r="AC131" s="32">
        <f>IF(A131="","",IF(COUNTIF($H$5:$H$1004,H131)&gt;1,"DUPLICATE","UNIQUE"))</f>
        <v/>
      </c>
      <c r="AD131" s="32">
        <f>IF(A131="","",IF(AA131="Rejected",IF(AB131&lt;&gt;"","REJECTED","ADD REASON"),IF(AND(B131&lt;&gt;"",C131&lt;&gt;"",D131&lt;&gt;"",E131&lt;&gt;"",F131&lt;&gt;"",G131&lt;&gt;"",H131&lt;&gt;"",J131&lt;&gt;"",K131&lt;&gt;"",L131&lt;&gt;"",M131&lt;&gt;"",N131&lt;&gt;"",O131&lt;&gt;"",P131&lt;&gt;"",Q131&lt;&gt;"",R131&lt;&gt;"",S131&lt;&gt;"",T131&lt;&gt;"",U131&lt;&gt;"",V131&lt;&gt;"",W131&lt;&gt;"",X131&lt;&gt;"",Y131&lt;&gt;"",AC131="UNIQUE"),"READY","CHECK")))</f>
        <v/>
      </c>
    </row>
    <row r="132">
      <c r="A132" s="25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37" t="n"/>
      <c r="K132" s="34" t="n"/>
      <c r="L132" s="26" t="n"/>
      <c r="M132" s="37" t="n"/>
      <c r="N132" s="37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34" t="n"/>
      <c r="Y132" s="26" t="n"/>
      <c r="Z132" s="26" t="n"/>
      <c r="AA132" s="26" t="n"/>
      <c r="AB132" s="27" t="n"/>
      <c r="AC132" s="32">
        <f>IF(A132="","",IF(COUNTIF($H$5:$H$1004,H132)&gt;1,"DUPLICATE","UNIQUE"))</f>
        <v/>
      </c>
      <c r="AD132" s="32">
        <f>IF(A132="","",IF(AA132="Rejected",IF(AB132&lt;&gt;"","REJECTED","ADD REASON"),IF(AND(B132&lt;&gt;"",C132&lt;&gt;"",D132&lt;&gt;"",E132&lt;&gt;"",F132&lt;&gt;"",G132&lt;&gt;"",H132&lt;&gt;"",J132&lt;&gt;"",K132&lt;&gt;"",L132&lt;&gt;"",M132&lt;&gt;"",N132&lt;&gt;"",O132&lt;&gt;"",P132&lt;&gt;"",Q132&lt;&gt;"",R132&lt;&gt;"",S132&lt;&gt;"",T132&lt;&gt;"",U132&lt;&gt;"",V132&lt;&gt;"",W132&lt;&gt;"",X132&lt;&gt;"",Y132&lt;&gt;"",AC132="UNIQUE"),"READY","CHECK")))</f>
        <v/>
      </c>
    </row>
    <row r="133">
      <c r="A133" s="25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37" t="n"/>
      <c r="K133" s="34" t="n"/>
      <c r="L133" s="26" t="n"/>
      <c r="M133" s="37" t="n"/>
      <c r="N133" s="37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34" t="n"/>
      <c r="Y133" s="26" t="n"/>
      <c r="Z133" s="26" t="n"/>
      <c r="AA133" s="26" t="n"/>
      <c r="AB133" s="27" t="n"/>
      <c r="AC133" s="32">
        <f>IF(A133="","",IF(COUNTIF($H$5:$H$1004,H133)&gt;1,"DUPLICATE","UNIQUE"))</f>
        <v/>
      </c>
      <c r="AD133" s="32">
        <f>IF(A133="","",IF(AA133="Rejected",IF(AB133&lt;&gt;"","REJECTED","ADD REASON"),IF(AND(B133&lt;&gt;"",C133&lt;&gt;"",D133&lt;&gt;"",E133&lt;&gt;"",F133&lt;&gt;"",G133&lt;&gt;"",H133&lt;&gt;"",J133&lt;&gt;"",K133&lt;&gt;"",L133&lt;&gt;"",M133&lt;&gt;"",N133&lt;&gt;"",O133&lt;&gt;"",P133&lt;&gt;"",Q133&lt;&gt;"",R133&lt;&gt;"",S133&lt;&gt;"",T133&lt;&gt;"",U133&lt;&gt;"",V133&lt;&gt;"",W133&lt;&gt;"",X133&lt;&gt;"",Y133&lt;&gt;"",AC133="UNIQUE"),"READY","CHECK")))</f>
        <v/>
      </c>
    </row>
    <row r="134">
      <c r="A134" s="25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37" t="n"/>
      <c r="K134" s="34" t="n"/>
      <c r="L134" s="26" t="n"/>
      <c r="M134" s="37" t="n"/>
      <c r="N134" s="37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34" t="n"/>
      <c r="Y134" s="26" t="n"/>
      <c r="Z134" s="26" t="n"/>
      <c r="AA134" s="26" t="n"/>
      <c r="AB134" s="27" t="n"/>
      <c r="AC134" s="32">
        <f>IF(A134="","",IF(COUNTIF($H$5:$H$1004,H134)&gt;1,"DUPLICATE","UNIQUE"))</f>
        <v/>
      </c>
      <c r="AD134" s="32">
        <f>IF(A134="","",IF(AA134="Rejected",IF(AB134&lt;&gt;"","REJECTED","ADD REASON"),IF(AND(B134&lt;&gt;"",C134&lt;&gt;"",D134&lt;&gt;"",E134&lt;&gt;"",F134&lt;&gt;"",G134&lt;&gt;"",H134&lt;&gt;"",J134&lt;&gt;"",K134&lt;&gt;"",L134&lt;&gt;"",M134&lt;&gt;"",N134&lt;&gt;"",O134&lt;&gt;"",P134&lt;&gt;"",Q134&lt;&gt;"",R134&lt;&gt;"",S134&lt;&gt;"",T134&lt;&gt;"",U134&lt;&gt;"",V134&lt;&gt;"",W134&lt;&gt;"",X134&lt;&gt;"",Y134&lt;&gt;"",AC134="UNIQUE"),"READY","CHECK")))</f>
        <v/>
      </c>
    </row>
    <row r="135">
      <c r="A135" s="25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37" t="n"/>
      <c r="K135" s="34" t="n"/>
      <c r="L135" s="26" t="n"/>
      <c r="M135" s="37" t="n"/>
      <c r="N135" s="37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34" t="n"/>
      <c r="Y135" s="26" t="n"/>
      <c r="Z135" s="26" t="n"/>
      <c r="AA135" s="26" t="n"/>
      <c r="AB135" s="27" t="n"/>
      <c r="AC135" s="32">
        <f>IF(A135="","",IF(COUNTIF($H$5:$H$1004,H135)&gt;1,"DUPLICATE","UNIQUE"))</f>
        <v/>
      </c>
      <c r="AD135" s="32">
        <f>IF(A135="","",IF(AA135="Rejected",IF(AB135&lt;&gt;"","REJECTED","ADD REASON"),IF(AND(B135&lt;&gt;"",C135&lt;&gt;"",D135&lt;&gt;"",E135&lt;&gt;"",F135&lt;&gt;"",G135&lt;&gt;"",H135&lt;&gt;"",J135&lt;&gt;"",K135&lt;&gt;"",L135&lt;&gt;"",M135&lt;&gt;"",N135&lt;&gt;"",O135&lt;&gt;"",P135&lt;&gt;"",Q135&lt;&gt;"",R135&lt;&gt;"",S135&lt;&gt;"",T135&lt;&gt;"",U135&lt;&gt;"",V135&lt;&gt;"",W135&lt;&gt;"",X135&lt;&gt;"",Y135&lt;&gt;"",AC135="UNIQUE"),"READY","CHECK")))</f>
        <v/>
      </c>
    </row>
    <row r="136">
      <c r="A136" s="25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37" t="n"/>
      <c r="K136" s="34" t="n"/>
      <c r="L136" s="26" t="n"/>
      <c r="M136" s="37" t="n"/>
      <c r="N136" s="37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34" t="n"/>
      <c r="Y136" s="26" t="n"/>
      <c r="Z136" s="26" t="n"/>
      <c r="AA136" s="26" t="n"/>
      <c r="AB136" s="27" t="n"/>
      <c r="AC136" s="32">
        <f>IF(A136="","",IF(COUNTIF($H$5:$H$1004,H136)&gt;1,"DUPLICATE","UNIQUE"))</f>
        <v/>
      </c>
      <c r="AD136" s="32">
        <f>IF(A136="","",IF(AA136="Rejected",IF(AB136&lt;&gt;"","REJECTED","ADD REASON"),IF(AND(B136&lt;&gt;"",C136&lt;&gt;"",D136&lt;&gt;"",E136&lt;&gt;"",F136&lt;&gt;"",G136&lt;&gt;"",H136&lt;&gt;"",J136&lt;&gt;"",K136&lt;&gt;"",L136&lt;&gt;"",M136&lt;&gt;"",N136&lt;&gt;"",O136&lt;&gt;"",P136&lt;&gt;"",Q136&lt;&gt;"",R136&lt;&gt;"",S136&lt;&gt;"",T136&lt;&gt;"",U136&lt;&gt;"",V136&lt;&gt;"",W136&lt;&gt;"",X136&lt;&gt;"",Y136&lt;&gt;"",AC136="UNIQUE"),"READY","CHECK")))</f>
        <v/>
      </c>
    </row>
    <row r="137">
      <c r="A137" s="25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37" t="n"/>
      <c r="K137" s="34" t="n"/>
      <c r="L137" s="26" t="n"/>
      <c r="M137" s="37" t="n"/>
      <c r="N137" s="37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34" t="n"/>
      <c r="Y137" s="26" t="n"/>
      <c r="Z137" s="26" t="n"/>
      <c r="AA137" s="26" t="n"/>
      <c r="AB137" s="27" t="n"/>
      <c r="AC137" s="32">
        <f>IF(A137="","",IF(COUNTIF($H$5:$H$1004,H137)&gt;1,"DUPLICATE","UNIQUE"))</f>
        <v/>
      </c>
      <c r="AD137" s="32">
        <f>IF(A137="","",IF(AA137="Rejected",IF(AB137&lt;&gt;"","REJECTED","ADD REASON"),IF(AND(B137&lt;&gt;"",C137&lt;&gt;"",D137&lt;&gt;"",E137&lt;&gt;"",F137&lt;&gt;"",G137&lt;&gt;"",H137&lt;&gt;"",J137&lt;&gt;"",K137&lt;&gt;"",L137&lt;&gt;"",M137&lt;&gt;"",N137&lt;&gt;"",O137&lt;&gt;"",P137&lt;&gt;"",Q137&lt;&gt;"",R137&lt;&gt;"",S137&lt;&gt;"",T137&lt;&gt;"",U137&lt;&gt;"",V137&lt;&gt;"",W137&lt;&gt;"",X137&lt;&gt;"",Y137&lt;&gt;"",AC137="UNIQUE"),"READY","CHECK")))</f>
        <v/>
      </c>
    </row>
    <row r="138">
      <c r="A138" s="25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37" t="n"/>
      <c r="K138" s="34" t="n"/>
      <c r="L138" s="26" t="n"/>
      <c r="M138" s="37" t="n"/>
      <c r="N138" s="37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34" t="n"/>
      <c r="Y138" s="26" t="n"/>
      <c r="Z138" s="26" t="n"/>
      <c r="AA138" s="26" t="n"/>
      <c r="AB138" s="27" t="n"/>
      <c r="AC138" s="32">
        <f>IF(A138="","",IF(COUNTIF($H$5:$H$1004,H138)&gt;1,"DUPLICATE","UNIQUE"))</f>
        <v/>
      </c>
      <c r="AD138" s="32">
        <f>IF(A138="","",IF(AA138="Rejected",IF(AB138&lt;&gt;"","REJECTED","ADD REASON"),IF(AND(B138&lt;&gt;"",C138&lt;&gt;"",D138&lt;&gt;"",E138&lt;&gt;"",F138&lt;&gt;"",G138&lt;&gt;"",H138&lt;&gt;"",J138&lt;&gt;"",K138&lt;&gt;"",L138&lt;&gt;"",M138&lt;&gt;"",N138&lt;&gt;"",O138&lt;&gt;"",P138&lt;&gt;"",Q138&lt;&gt;"",R138&lt;&gt;"",S138&lt;&gt;"",T138&lt;&gt;"",U138&lt;&gt;"",V138&lt;&gt;"",W138&lt;&gt;"",X138&lt;&gt;"",Y138&lt;&gt;"",AC138="UNIQUE"),"READY","CHECK")))</f>
        <v/>
      </c>
    </row>
    <row r="139">
      <c r="A139" s="25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37" t="n"/>
      <c r="K139" s="34" t="n"/>
      <c r="L139" s="26" t="n"/>
      <c r="M139" s="37" t="n"/>
      <c r="N139" s="37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34" t="n"/>
      <c r="Y139" s="26" t="n"/>
      <c r="Z139" s="26" t="n"/>
      <c r="AA139" s="26" t="n"/>
      <c r="AB139" s="27" t="n"/>
      <c r="AC139" s="32">
        <f>IF(A139="","",IF(COUNTIF($H$5:$H$1004,H139)&gt;1,"DUPLICATE","UNIQUE"))</f>
        <v/>
      </c>
      <c r="AD139" s="32">
        <f>IF(A139="","",IF(AA139="Rejected",IF(AB139&lt;&gt;"","REJECTED","ADD REASON"),IF(AND(B139&lt;&gt;"",C139&lt;&gt;"",D139&lt;&gt;"",E139&lt;&gt;"",F139&lt;&gt;"",G139&lt;&gt;"",H139&lt;&gt;"",J139&lt;&gt;"",K139&lt;&gt;"",L139&lt;&gt;"",M139&lt;&gt;"",N139&lt;&gt;"",O139&lt;&gt;"",P139&lt;&gt;"",Q139&lt;&gt;"",R139&lt;&gt;"",S139&lt;&gt;"",T139&lt;&gt;"",U139&lt;&gt;"",V139&lt;&gt;"",W139&lt;&gt;"",X139&lt;&gt;"",Y139&lt;&gt;"",AC139="UNIQUE"),"READY","CHECK")))</f>
        <v/>
      </c>
    </row>
    <row r="140">
      <c r="A140" s="25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37" t="n"/>
      <c r="K140" s="34" t="n"/>
      <c r="L140" s="26" t="n"/>
      <c r="M140" s="37" t="n"/>
      <c r="N140" s="37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34" t="n"/>
      <c r="Y140" s="26" t="n"/>
      <c r="Z140" s="26" t="n"/>
      <c r="AA140" s="26" t="n"/>
      <c r="AB140" s="27" t="n"/>
      <c r="AC140" s="32">
        <f>IF(A140="","",IF(COUNTIF($H$5:$H$1004,H140)&gt;1,"DUPLICATE","UNIQUE"))</f>
        <v/>
      </c>
      <c r="AD140" s="32">
        <f>IF(A140="","",IF(AA140="Rejected",IF(AB140&lt;&gt;"","REJECTED","ADD REASON"),IF(AND(B140&lt;&gt;"",C140&lt;&gt;"",D140&lt;&gt;"",E140&lt;&gt;"",F140&lt;&gt;"",G140&lt;&gt;"",H140&lt;&gt;"",J140&lt;&gt;"",K140&lt;&gt;"",L140&lt;&gt;"",M140&lt;&gt;"",N140&lt;&gt;"",O140&lt;&gt;"",P140&lt;&gt;"",Q140&lt;&gt;"",R140&lt;&gt;"",S140&lt;&gt;"",T140&lt;&gt;"",U140&lt;&gt;"",V140&lt;&gt;"",W140&lt;&gt;"",X140&lt;&gt;"",Y140&lt;&gt;"",AC140="UNIQUE"),"READY","CHECK")))</f>
        <v/>
      </c>
    </row>
    <row r="141">
      <c r="A141" s="25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37" t="n"/>
      <c r="K141" s="34" t="n"/>
      <c r="L141" s="26" t="n"/>
      <c r="M141" s="37" t="n"/>
      <c r="N141" s="37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34" t="n"/>
      <c r="Y141" s="26" t="n"/>
      <c r="Z141" s="26" t="n"/>
      <c r="AA141" s="26" t="n"/>
      <c r="AB141" s="27" t="n"/>
      <c r="AC141" s="32">
        <f>IF(A141="","",IF(COUNTIF($H$5:$H$1004,H141)&gt;1,"DUPLICATE","UNIQUE"))</f>
        <v/>
      </c>
      <c r="AD141" s="32">
        <f>IF(A141="","",IF(AA141="Rejected",IF(AB141&lt;&gt;"","REJECTED","ADD REASON"),IF(AND(B141&lt;&gt;"",C141&lt;&gt;"",D141&lt;&gt;"",E141&lt;&gt;"",F141&lt;&gt;"",G141&lt;&gt;"",H141&lt;&gt;"",J141&lt;&gt;"",K141&lt;&gt;"",L141&lt;&gt;"",M141&lt;&gt;"",N141&lt;&gt;"",O141&lt;&gt;"",P141&lt;&gt;"",Q141&lt;&gt;"",R141&lt;&gt;"",S141&lt;&gt;"",T141&lt;&gt;"",U141&lt;&gt;"",V141&lt;&gt;"",W141&lt;&gt;"",X141&lt;&gt;"",Y141&lt;&gt;"",AC141="UNIQUE"),"READY","CHECK")))</f>
        <v/>
      </c>
    </row>
    <row r="142">
      <c r="A142" s="25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37" t="n"/>
      <c r="K142" s="34" t="n"/>
      <c r="L142" s="26" t="n"/>
      <c r="M142" s="37" t="n"/>
      <c r="N142" s="37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34" t="n"/>
      <c r="Y142" s="26" t="n"/>
      <c r="Z142" s="26" t="n"/>
      <c r="AA142" s="26" t="n"/>
      <c r="AB142" s="27" t="n"/>
      <c r="AC142" s="32">
        <f>IF(A142="","",IF(COUNTIF($H$5:$H$1004,H142)&gt;1,"DUPLICATE","UNIQUE"))</f>
        <v/>
      </c>
      <c r="AD142" s="32">
        <f>IF(A142="","",IF(AA142="Rejected",IF(AB142&lt;&gt;"","REJECTED","ADD REASON"),IF(AND(B142&lt;&gt;"",C142&lt;&gt;"",D142&lt;&gt;"",E142&lt;&gt;"",F142&lt;&gt;"",G142&lt;&gt;"",H142&lt;&gt;"",J142&lt;&gt;"",K142&lt;&gt;"",L142&lt;&gt;"",M142&lt;&gt;"",N142&lt;&gt;"",O142&lt;&gt;"",P142&lt;&gt;"",Q142&lt;&gt;"",R142&lt;&gt;"",S142&lt;&gt;"",T142&lt;&gt;"",U142&lt;&gt;"",V142&lt;&gt;"",W142&lt;&gt;"",X142&lt;&gt;"",Y142&lt;&gt;"",AC142="UNIQUE"),"READY","CHECK")))</f>
        <v/>
      </c>
    </row>
    <row r="143">
      <c r="A143" s="25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37" t="n"/>
      <c r="K143" s="34" t="n"/>
      <c r="L143" s="26" t="n"/>
      <c r="M143" s="37" t="n"/>
      <c r="N143" s="37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34" t="n"/>
      <c r="Y143" s="26" t="n"/>
      <c r="Z143" s="26" t="n"/>
      <c r="AA143" s="26" t="n"/>
      <c r="AB143" s="27" t="n"/>
      <c r="AC143" s="32">
        <f>IF(A143="","",IF(COUNTIF($H$5:$H$1004,H143)&gt;1,"DUPLICATE","UNIQUE"))</f>
        <v/>
      </c>
      <c r="AD143" s="32">
        <f>IF(A143="","",IF(AA143="Rejected",IF(AB143&lt;&gt;"","REJECTED","ADD REASON"),IF(AND(B143&lt;&gt;"",C143&lt;&gt;"",D143&lt;&gt;"",E143&lt;&gt;"",F143&lt;&gt;"",G143&lt;&gt;"",H143&lt;&gt;"",J143&lt;&gt;"",K143&lt;&gt;"",L143&lt;&gt;"",M143&lt;&gt;"",N143&lt;&gt;"",O143&lt;&gt;"",P143&lt;&gt;"",Q143&lt;&gt;"",R143&lt;&gt;"",S143&lt;&gt;"",T143&lt;&gt;"",U143&lt;&gt;"",V143&lt;&gt;"",W143&lt;&gt;"",X143&lt;&gt;"",Y143&lt;&gt;"",AC143="UNIQUE"),"READY","CHECK")))</f>
        <v/>
      </c>
    </row>
    <row r="144">
      <c r="A144" s="25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37" t="n"/>
      <c r="K144" s="34" t="n"/>
      <c r="L144" s="26" t="n"/>
      <c r="M144" s="37" t="n"/>
      <c r="N144" s="37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34" t="n"/>
      <c r="Y144" s="26" t="n"/>
      <c r="Z144" s="26" t="n"/>
      <c r="AA144" s="26" t="n"/>
      <c r="AB144" s="27" t="n"/>
      <c r="AC144" s="32">
        <f>IF(A144="","",IF(COUNTIF($H$5:$H$1004,H144)&gt;1,"DUPLICATE","UNIQUE"))</f>
        <v/>
      </c>
      <c r="AD144" s="32">
        <f>IF(A144="","",IF(AA144="Rejected",IF(AB144&lt;&gt;"","REJECTED","ADD REASON"),IF(AND(B144&lt;&gt;"",C144&lt;&gt;"",D144&lt;&gt;"",E144&lt;&gt;"",F144&lt;&gt;"",G144&lt;&gt;"",H144&lt;&gt;"",J144&lt;&gt;"",K144&lt;&gt;"",L144&lt;&gt;"",M144&lt;&gt;"",N144&lt;&gt;"",O144&lt;&gt;"",P144&lt;&gt;"",Q144&lt;&gt;"",R144&lt;&gt;"",S144&lt;&gt;"",T144&lt;&gt;"",U144&lt;&gt;"",V144&lt;&gt;"",W144&lt;&gt;"",X144&lt;&gt;"",Y144&lt;&gt;"",AC144="UNIQUE"),"READY","CHECK")))</f>
        <v/>
      </c>
    </row>
    <row r="145">
      <c r="A145" s="25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37" t="n"/>
      <c r="K145" s="34" t="n"/>
      <c r="L145" s="26" t="n"/>
      <c r="M145" s="37" t="n"/>
      <c r="N145" s="37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34" t="n"/>
      <c r="Y145" s="26" t="n"/>
      <c r="Z145" s="26" t="n"/>
      <c r="AA145" s="26" t="n"/>
      <c r="AB145" s="27" t="n"/>
      <c r="AC145" s="32">
        <f>IF(A145="","",IF(COUNTIF($H$5:$H$1004,H145)&gt;1,"DUPLICATE","UNIQUE"))</f>
        <v/>
      </c>
      <c r="AD145" s="32">
        <f>IF(A145="","",IF(AA145="Rejected",IF(AB145&lt;&gt;"","REJECTED","ADD REASON"),IF(AND(B145&lt;&gt;"",C145&lt;&gt;"",D145&lt;&gt;"",E145&lt;&gt;"",F145&lt;&gt;"",G145&lt;&gt;"",H145&lt;&gt;"",J145&lt;&gt;"",K145&lt;&gt;"",L145&lt;&gt;"",M145&lt;&gt;"",N145&lt;&gt;"",O145&lt;&gt;"",P145&lt;&gt;"",Q145&lt;&gt;"",R145&lt;&gt;"",S145&lt;&gt;"",T145&lt;&gt;"",U145&lt;&gt;"",V145&lt;&gt;"",W145&lt;&gt;"",X145&lt;&gt;"",Y145&lt;&gt;"",AC145="UNIQUE"),"READY","CHECK")))</f>
        <v/>
      </c>
    </row>
    <row r="146">
      <c r="A146" s="25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37" t="n"/>
      <c r="K146" s="34" t="n"/>
      <c r="L146" s="26" t="n"/>
      <c r="M146" s="37" t="n"/>
      <c r="N146" s="37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34" t="n"/>
      <c r="Y146" s="26" t="n"/>
      <c r="Z146" s="26" t="n"/>
      <c r="AA146" s="26" t="n"/>
      <c r="AB146" s="27" t="n"/>
      <c r="AC146" s="32">
        <f>IF(A146="","",IF(COUNTIF($H$5:$H$1004,H146)&gt;1,"DUPLICATE","UNIQUE"))</f>
        <v/>
      </c>
      <c r="AD146" s="32">
        <f>IF(A146="","",IF(AA146="Rejected",IF(AB146&lt;&gt;"","REJECTED","ADD REASON"),IF(AND(B146&lt;&gt;"",C146&lt;&gt;"",D146&lt;&gt;"",E146&lt;&gt;"",F146&lt;&gt;"",G146&lt;&gt;"",H146&lt;&gt;"",J146&lt;&gt;"",K146&lt;&gt;"",L146&lt;&gt;"",M146&lt;&gt;"",N146&lt;&gt;"",O146&lt;&gt;"",P146&lt;&gt;"",Q146&lt;&gt;"",R146&lt;&gt;"",S146&lt;&gt;"",T146&lt;&gt;"",U146&lt;&gt;"",V146&lt;&gt;"",W146&lt;&gt;"",X146&lt;&gt;"",Y146&lt;&gt;"",AC146="UNIQUE"),"READY","CHECK")))</f>
        <v/>
      </c>
    </row>
    <row r="147">
      <c r="A147" s="25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37" t="n"/>
      <c r="K147" s="34" t="n"/>
      <c r="L147" s="26" t="n"/>
      <c r="M147" s="37" t="n"/>
      <c r="N147" s="37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34" t="n"/>
      <c r="Y147" s="26" t="n"/>
      <c r="Z147" s="26" t="n"/>
      <c r="AA147" s="26" t="n"/>
      <c r="AB147" s="27" t="n"/>
      <c r="AC147" s="32">
        <f>IF(A147="","",IF(COUNTIF($H$5:$H$1004,H147)&gt;1,"DUPLICATE","UNIQUE"))</f>
        <v/>
      </c>
      <c r="AD147" s="32">
        <f>IF(A147="","",IF(AA147="Rejected",IF(AB147&lt;&gt;"","REJECTED","ADD REASON"),IF(AND(B147&lt;&gt;"",C147&lt;&gt;"",D147&lt;&gt;"",E147&lt;&gt;"",F147&lt;&gt;"",G147&lt;&gt;"",H147&lt;&gt;"",J147&lt;&gt;"",K147&lt;&gt;"",L147&lt;&gt;"",M147&lt;&gt;"",N147&lt;&gt;"",O147&lt;&gt;"",P147&lt;&gt;"",Q147&lt;&gt;"",R147&lt;&gt;"",S147&lt;&gt;"",T147&lt;&gt;"",U147&lt;&gt;"",V147&lt;&gt;"",W147&lt;&gt;"",X147&lt;&gt;"",Y147&lt;&gt;"",AC147="UNIQUE"),"READY","CHECK")))</f>
        <v/>
      </c>
    </row>
    <row r="148">
      <c r="A148" s="25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37" t="n"/>
      <c r="K148" s="34" t="n"/>
      <c r="L148" s="26" t="n"/>
      <c r="M148" s="37" t="n"/>
      <c r="N148" s="37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34" t="n"/>
      <c r="Y148" s="26" t="n"/>
      <c r="Z148" s="26" t="n"/>
      <c r="AA148" s="26" t="n"/>
      <c r="AB148" s="27" t="n"/>
      <c r="AC148" s="32">
        <f>IF(A148="","",IF(COUNTIF($H$5:$H$1004,H148)&gt;1,"DUPLICATE","UNIQUE"))</f>
        <v/>
      </c>
      <c r="AD148" s="32">
        <f>IF(A148="","",IF(AA148="Rejected",IF(AB148&lt;&gt;"","REJECTED","ADD REASON"),IF(AND(B148&lt;&gt;"",C148&lt;&gt;"",D148&lt;&gt;"",E148&lt;&gt;"",F148&lt;&gt;"",G148&lt;&gt;"",H148&lt;&gt;"",J148&lt;&gt;"",K148&lt;&gt;"",L148&lt;&gt;"",M148&lt;&gt;"",N148&lt;&gt;"",O148&lt;&gt;"",P148&lt;&gt;"",Q148&lt;&gt;"",R148&lt;&gt;"",S148&lt;&gt;"",T148&lt;&gt;"",U148&lt;&gt;"",V148&lt;&gt;"",W148&lt;&gt;"",X148&lt;&gt;"",Y148&lt;&gt;"",AC148="UNIQUE"),"READY","CHECK")))</f>
        <v/>
      </c>
    </row>
    <row r="149">
      <c r="A149" s="25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37" t="n"/>
      <c r="K149" s="34" t="n"/>
      <c r="L149" s="26" t="n"/>
      <c r="M149" s="37" t="n"/>
      <c r="N149" s="37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34" t="n"/>
      <c r="Y149" s="26" t="n"/>
      <c r="Z149" s="26" t="n"/>
      <c r="AA149" s="26" t="n"/>
      <c r="AB149" s="27" t="n"/>
      <c r="AC149" s="32">
        <f>IF(A149="","",IF(COUNTIF($H$5:$H$1004,H149)&gt;1,"DUPLICATE","UNIQUE"))</f>
        <v/>
      </c>
      <c r="AD149" s="32">
        <f>IF(A149="","",IF(AA149="Rejected",IF(AB149&lt;&gt;"","REJECTED","ADD REASON"),IF(AND(B149&lt;&gt;"",C149&lt;&gt;"",D149&lt;&gt;"",E149&lt;&gt;"",F149&lt;&gt;"",G149&lt;&gt;"",H149&lt;&gt;"",J149&lt;&gt;"",K149&lt;&gt;"",L149&lt;&gt;"",M149&lt;&gt;"",N149&lt;&gt;"",O149&lt;&gt;"",P149&lt;&gt;"",Q149&lt;&gt;"",R149&lt;&gt;"",S149&lt;&gt;"",T149&lt;&gt;"",U149&lt;&gt;"",V149&lt;&gt;"",W149&lt;&gt;"",X149&lt;&gt;"",Y149&lt;&gt;"",AC149="UNIQUE"),"READY","CHECK")))</f>
        <v/>
      </c>
    </row>
    <row r="150">
      <c r="A150" s="25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37" t="n"/>
      <c r="K150" s="34" t="n"/>
      <c r="L150" s="26" t="n"/>
      <c r="M150" s="37" t="n"/>
      <c r="N150" s="37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34" t="n"/>
      <c r="Y150" s="26" t="n"/>
      <c r="Z150" s="26" t="n"/>
      <c r="AA150" s="26" t="n"/>
      <c r="AB150" s="27" t="n"/>
      <c r="AC150" s="32">
        <f>IF(A150="","",IF(COUNTIF($H$5:$H$1004,H150)&gt;1,"DUPLICATE","UNIQUE"))</f>
        <v/>
      </c>
      <c r="AD150" s="32">
        <f>IF(A150="","",IF(AA150="Rejected",IF(AB150&lt;&gt;"","REJECTED","ADD REASON"),IF(AND(B150&lt;&gt;"",C150&lt;&gt;"",D150&lt;&gt;"",E150&lt;&gt;"",F150&lt;&gt;"",G150&lt;&gt;"",H150&lt;&gt;"",J150&lt;&gt;"",K150&lt;&gt;"",L150&lt;&gt;"",M150&lt;&gt;"",N150&lt;&gt;"",O150&lt;&gt;"",P150&lt;&gt;"",Q150&lt;&gt;"",R150&lt;&gt;"",S150&lt;&gt;"",T150&lt;&gt;"",U150&lt;&gt;"",V150&lt;&gt;"",W150&lt;&gt;"",X150&lt;&gt;"",Y150&lt;&gt;"",AC150="UNIQUE"),"READY","CHECK")))</f>
        <v/>
      </c>
    </row>
    <row r="151">
      <c r="A151" s="25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37" t="n"/>
      <c r="K151" s="34" t="n"/>
      <c r="L151" s="26" t="n"/>
      <c r="M151" s="37" t="n"/>
      <c r="N151" s="37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34" t="n"/>
      <c r="Y151" s="26" t="n"/>
      <c r="Z151" s="26" t="n"/>
      <c r="AA151" s="26" t="n"/>
      <c r="AB151" s="27" t="n"/>
      <c r="AC151" s="32">
        <f>IF(A151="","",IF(COUNTIF($H$5:$H$1004,H151)&gt;1,"DUPLICATE","UNIQUE"))</f>
        <v/>
      </c>
      <c r="AD151" s="32">
        <f>IF(A151="","",IF(AA151="Rejected",IF(AB151&lt;&gt;"","REJECTED","ADD REASON"),IF(AND(B151&lt;&gt;"",C151&lt;&gt;"",D151&lt;&gt;"",E151&lt;&gt;"",F151&lt;&gt;"",G151&lt;&gt;"",H151&lt;&gt;"",J151&lt;&gt;"",K151&lt;&gt;"",L151&lt;&gt;"",M151&lt;&gt;"",N151&lt;&gt;"",O151&lt;&gt;"",P151&lt;&gt;"",Q151&lt;&gt;"",R151&lt;&gt;"",S151&lt;&gt;"",T151&lt;&gt;"",U151&lt;&gt;"",V151&lt;&gt;"",W151&lt;&gt;"",X151&lt;&gt;"",Y151&lt;&gt;"",AC151="UNIQUE"),"READY","CHECK")))</f>
        <v/>
      </c>
    </row>
    <row r="152">
      <c r="A152" s="25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37" t="n"/>
      <c r="K152" s="34" t="n"/>
      <c r="L152" s="26" t="n"/>
      <c r="M152" s="37" t="n"/>
      <c r="N152" s="37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34" t="n"/>
      <c r="Y152" s="26" t="n"/>
      <c r="Z152" s="26" t="n"/>
      <c r="AA152" s="26" t="n"/>
      <c r="AB152" s="27" t="n"/>
      <c r="AC152" s="32">
        <f>IF(A152="","",IF(COUNTIF($H$5:$H$1004,H152)&gt;1,"DUPLICATE","UNIQUE"))</f>
        <v/>
      </c>
      <c r="AD152" s="32">
        <f>IF(A152="","",IF(AA152="Rejected",IF(AB152&lt;&gt;"","REJECTED","ADD REASON"),IF(AND(B152&lt;&gt;"",C152&lt;&gt;"",D152&lt;&gt;"",E152&lt;&gt;"",F152&lt;&gt;"",G152&lt;&gt;"",H152&lt;&gt;"",J152&lt;&gt;"",K152&lt;&gt;"",L152&lt;&gt;"",M152&lt;&gt;"",N152&lt;&gt;"",O152&lt;&gt;"",P152&lt;&gt;"",Q152&lt;&gt;"",R152&lt;&gt;"",S152&lt;&gt;"",T152&lt;&gt;"",U152&lt;&gt;"",V152&lt;&gt;"",W152&lt;&gt;"",X152&lt;&gt;"",Y152&lt;&gt;"",AC152="UNIQUE"),"READY","CHECK")))</f>
        <v/>
      </c>
    </row>
    <row r="153">
      <c r="A153" s="25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37" t="n"/>
      <c r="K153" s="34" t="n"/>
      <c r="L153" s="26" t="n"/>
      <c r="M153" s="37" t="n"/>
      <c r="N153" s="37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34" t="n"/>
      <c r="Y153" s="26" t="n"/>
      <c r="Z153" s="26" t="n"/>
      <c r="AA153" s="26" t="n"/>
      <c r="AB153" s="27" t="n"/>
      <c r="AC153" s="32">
        <f>IF(A153="","",IF(COUNTIF($H$5:$H$1004,H153)&gt;1,"DUPLICATE","UNIQUE"))</f>
        <v/>
      </c>
      <c r="AD153" s="32">
        <f>IF(A153="","",IF(AA153="Rejected",IF(AB153&lt;&gt;"","REJECTED","ADD REASON"),IF(AND(B153&lt;&gt;"",C153&lt;&gt;"",D153&lt;&gt;"",E153&lt;&gt;"",F153&lt;&gt;"",G153&lt;&gt;"",H153&lt;&gt;"",J153&lt;&gt;"",K153&lt;&gt;"",L153&lt;&gt;"",M153&lt;&gt;"",N153&lt;&gt;"",O153&lt;&gt;"",P153&lt;&gt;"",Q153&lt;&gt;"",R153&lt;&gt;"",S153&lt;&gt;"",T153&lt;&gt;"",U153&lt;&gt;"",V153&lt;&gt;"",W153&lt;&gt;"",X153&lt;&gt;"",Y153&lt;&gt;"",AC153="UNIQUE"),"READY","CHECK")))</f>
        <v/>
      </c>
    </row>
    <row r="154">
      <c r="A154" s="25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37" t="n"/>
      <c r="K154" s="34" t="n"/>
      <c r="L154" s="26" t="n"/>
      <c r="M154" s="37" t="n"/>
      <c r="N154" s="37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34" t="n"/>
      <c r="Y154" s="26" t="n"/>
      <c r="Z154" s="26" t="n"/>
      <c r="AA154" s="26" t="n"/>
      <c r="AB154" s="27" t="n"/>
      <c r="AC154" s="32">
        <f>IF(A154="","",IF(COUNTIF($H$5:$H$1004,H154)&gt;1,"DUPLICATE","UNIQUE"))</f>
        <v/>
      </c>
      <c r="AD154" s="32">
        <f>IF(A154="","",IF(AA154="Rejected",IF(AB154&lt;&gt;"","REJECTED","ADD REASON"),IF(AND(B154&lt;&gt;"",C154&lt;&gt;"",D154&lt;&gt;"",E154&lt;&gt;"",F154&lt;&gt;"",G154&lt;&gt;"",H154&lt;&gt;"",J154&lt;&gt;"",K154&lt;&gt;"",L154&lt;&gt;"",M154&lt;&gt;"",N154&lt;&gt;"",O154&lt;&gt;"",P154&lt;&gt;"",Q154&lt;&gt;"",R154&lt;&gt;"",S154&lt;&gt;"",T154&lt;&gt;"",U154&lt;&gt;"",V154&lt;&gt;"",W154&lt;&gt;"",X154&lt;&gt;"",Y154&lt;&gt;"",AC154="UNIQUE"),"READY","CHECK")))</f>
        <v/>
      </c>
    </row>
    <row r="155">
      <c r="A155" s="25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37" t="n"/>
      <c r="K155" s="34" t="n"/>
      <c r="L155" s="26" t="n"/>
      <c r="M155" s="37" t="n"/>
      <c r="N155" s="37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34" t="n"/>
      <c r="Y155" s="26" t="n"/>
      <c r="Z155" s="26" t="n"/>
      <c r="AA155" s="26" t="n"/>
      <c r="AB155" s="27" t="n"/>
      <c r="AC155" s="32">
        <f>IF(A155="","",IF(COUNTIF($H$5:$H$1004,H155)&gt;1,"DUPLICATE","UNIQUE"))</f>
        <v/>
      </c>
      <c r="AD155" s="32">
        <f>IF(A155="","",IF(AA155="Rejected",IF(AB155&lt;&gt;"","REJECTED","ADD REASON"),IF(AND(B155&lt;&gt;"",C155&lt;&gt;"",D155&lt;&gt;"",E155&lt;&gt;"",F155&lt;&gt;"",G155&lt;&gt;"",H155&lt;&gt;"",J155&lt;&gt;"",K155&lt;&gt;"",L155&lt;&gt;"",M155&lt;&gt;"",N155&lt;&gt;"",O155&lt;&gt;"",P155&lt;&gt;"",Q155&lt;&gt;"",R155&lt;&gt;"",S155&lt;&gt;"",T155&lt;&gt;"",U155&lt;&gt;"",V155&lt;&gt;"",W155&lt;&gt;"",X155&lt;&gt;"",Y155&lt;&gt;"",AC155="UNIQUE"),"READY","CHECK")))</f>
        <v/>
      </c>
    </row>
    <row r="156">
      <c r="A156" s="25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37" t="n"/>
      <c r="K156" s="34" t="n"/>
      <c r="L156" s="26" t="n"/>
      <c r="M156" s="37" t="n"/>
      <c r="N156" s="37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34" t="n"/>
      <c r="Y156" s="26" t="n"/>
      <c r="Z156" s="26" t="n"/>
      <c r="AA156" s="26" t="n"/>
      <c r="AB156" s="27" t="n"/>
      <c r="AC156" s="32">
        <f>IF(A156="","",IF(COUNTIF($H$5:$H$1004,H156)&gt;1,"DUPLICATE","UNIQUE"))</f>
        <v/>
      </c>
      <c r="AD156" s="32">
        <f>IF(A156="","",IF(AA156="Rejected",IF(AB156&lt;&gt;"","REJECTED","ADD REASON"),IF(AND(B156&lt;&gt;"",C156&lt;&gt;"",D156&lt;&gt;"",E156&lt;&gt;"",F156&lt;&gt;"",G156&lt;&gt;"",H156&lt;&gt;"",J156&lt;&gt;"",K156&lt;&gt;"",L156&lt;&gt;"",M156&lt;&gt;"",N156&lt;&gt;"",O156&lt;&gt;"",P156&lt;&gt;"",Q156&lt;&gt;"",R156&lt;&gt;"",S156&lt;&gt;"",T156&lt;&gt;"",U156&lt;&gt;"",V156&lt;&gt;"",W156&lt;&gt;"",X156&lt;&gt;"",Y156&lt;&gt;"",AC156="UNIQUE"),"READY","CHECK")))</f>
        <v/>
      </c>
    </row>
    <row r="157">
      <c r="A157" s="25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37" t="n"/>
      <c r="K157" s="34" t="n"/>
      <c r="L157" s="26" t="n"/>
      <c r="M157" s="37" t="n"/>
      <c r="N157" s="37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34" t="n"/>
      <c r="Y157" s="26" t="n"/>
      <c r="Z157" s="26" t="n"/>
      <c r="AA157" s="26" t="n"/>
      <c r="AB157" s="27" t="n"/>
      <c r="AC157" s="32">
        <f>IF(A157="","",IF(COUNTIF($H$5:$H$1004,H157)&gt;1,"DUPLICATE","UNIQUE"))</f>
        <v/>
      </c>
      <c r="AD157" s="32">
        <f>IF(A157="","",IF(AA157="Rejected",IF(AB157&lt;&gt;"","REJECTED","ADD REASON"),IF(AND(B157&lt;&gt;"",C157&lt;&gt;"",D157&lt;&gt;"",E157&lt;&gt;"",F157&lt;&gt;"",G157&lt;&gt;"",H157&lt;&gt;"",J157&lt;&gt;"",K157&lt;&gt;"",L157&lt;&gt;"",M157&lt;&gt;"",N157&lt;&gt;"",O157&lt;&gt;"",P157&lt;&gt;"",Q157&lt;&gt;"",R157&lt;&gt;"",S157&lt;&gt;"",T157&lt;&gt;"",U157&lt;&gt;"",V157&lt;&gt;"",W157&lt;&gt;"",X157&lt;&gt;"",Y157&lt;&gt;"",AC157="UNIQUE"),"READY","CHECK")))</f>
        <v/>
      </c>
    </row>
    <row r="158">
      <c r="A158" s="25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37" t="n"/>
      <c r="K158" s="34" t="n"/>
      <c r="L158" s="26" t="n"/>
      <c r="M158" s="37" t="n"/>
      <c r="N158" s="37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34" t="n"/>
      <c r="Y158" s="26" t="n"/>
      <c r="Z158" s="26" t="n"/>
      <c r="AA158" s="26" t="n"/>
      <c r="AB158" s="27" t="n"/>
      <c r="AC158" s="32">
        <f>IF(A158="","",IF(COUNTIF($H$5:$H$1004,H158)&gt;1,"DUPLICATE","UNIQUE"))</f>
        <v/>
      </c>
      <c r="AD158" s="32">
        <f>IF(A158="","",IF(AA158="Rejected",IF(AB158&lt;&gt;"","REJECTED","ADD REASON"),IF(AND(B158&lt;&gt;"",C158&lt;&gt;"",D158&lt;&gt;"",E158&lt;&gt;"",F158&lt;&gt;"",G158&lt;&gt;"",H158&lt;&gt;"",J158&lt;&gt;"",K158&lt;&gt;"",L158&lt;&gt;"",M158&lt;&gt;"",N158&lt;&gt;"",O158&lt;&gt;"",P158&lt;&gt;"",Q158&lt;&gt;"",R158&lt;&gt;"",S158&lt;&gt;"",T158&lt;&gt;"",U158&lt;&gt;"",V158&lt;&gt;"",W158&lt;&gt;"",X158&lt;&gt;"",Y158&lt;&gt;"",AC158="UNIQUE"),"READY","CHECK")))</f>
        <v/>
      </c>
    </row>
    <row r="159">
      <c r="A159" s="25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37" t="n"/>
      <c r="K159" s="34" t="n"/>
      <c r="L159" s="26" t="n"/>
      <c r="M159" s="37" t="n"/>
      <c r="N159" s="37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34" t="n"/>
      <c r="Y159" s="26" t="n"/>
      <c r="Z159" s="26" t="n"/>
      <c r="AA159" s="26" t="n"/>
      <c r="AB159" s="27" t="n"/>
      <c r="AC159" s="32">
        <f>IF(A159="","",IF(COUNTIF($H$5:$H$1004,H159)&gt;1,"DUPLICATE","UNIQUE"))</f>
        <v/>
      </c>
      <c r="AD159" s="32">
        <f>IF(A159="","",IF(AA159="Rejected",IF(AB159&lt;&gt;"","REJECTED","ADD REASON"),IF(AND(B159&lt;&gt;"",C159&lt;&gt;"",D159&lt;&gt;"",E159&lt;&gt;"",F159&lt;&gt;"",G159&lt;&gt;"",H159&lt;&gt;"",J159&lt;&gt;"",K159&lt;&gt;"",L159&lt;&gt;"",M159&lt;&gt;"",N159&lt;&gt;"",O159&lt;&gt;"",P159&lt;&gt;"",Q159&lt;&gt;"",R159&lt;&gt;"",S159&lt;&gt;"",T159&lt;&gt;"",U159&lt;&gt;"",V159&lt;&gt;"",W159&lt;&gt;"",X159&lt;&gt;"",Y159&lt;&gt;"",AC159="UNIQUE"),"READY","CHECK")))</f>
        <v/>
      </c>
    </row>
    <row r="160">
      <c r="A160" s="25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37" t="n"/>
      <c r="K160" s="34" t="n"/>
      <c r="L160" s="26" t="n"/>
      <c r="M160" s="37" t="n"/>
      <c r="N160" s="37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34" t="n"/>
      <c r="Y160" s="26" t="n"/>
      <c r="Z160" s="26" t="n"/>
      <c r="AA160" s="26" t="n"/>
      <c r="AB160" s="27" t="n"/>
      <c r="AC160" s="32">
        <f>IF(A160="","",IF(COUNTIF($H$5:$H$1004,H160)&gt;1,"DUPLICATE","UNIQUE"))</f>
        <v/>
      </c>
      <c r="AD160" s="32">
        <f>IF(A160="","",IF(AA160="Rejected",IF(AB160&lt;&gt;"","REJECTED","ADD REASON"),IF(AND(B160&lt;&gt;"",C160&lt;&gt;"",D160&lt;&gt;"",E160&lt;&gt;"",F160&lt;&gt;"",G160&lt;&gt;"",H160&lt;&gt;"",J160&lt;&gt;"",K160&lt;&gt;"",L160&lt;&gt;"",M160&lt;&gt;"",N160&lt;&gt;"",O160&lt;&gt;"",P160&lt;&gt;"",Q160&lt;&gt;"",R160&lt;&gt;"",S160&lt;&gt;"",T160&lt;&gt;"",U160&lt;&gt;"",V160&lt;&gt;"",W160&lt;&gt;"",X160&lt;&gt;"",Y160&lt;&gt;"",AC160="UNIQUE"),"READY","CHECK")))</f>
        <v/>
      </c>
    </row>
    <row r="161">
      <c r="A161" s="25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37" t="n"/>
      <c r="K161" s="34" t="n"/>
      <c r="L161" s="26" t="n"/>
      <c r="M161" s="37" t="n"/>
      <c r="N161" s="37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34" t="n"/>
      <c r="Y161" s="26" t="n"/>
      <c r="Z161" s="26" t="n"/>
      <c r="AA161" s="26" t="n"/>
      <c r="AB161" s="27" t="n"/>
      <c r="AC161" s="32">
        <f>IF(A161="","",IF(COUNTIF($H$5:$H$1004,H161)&gt;1,"DUPLICATE","UNIQUE"))</f>
        <v/>
      </c>
      <c r="AD161" s="32">
        <f>IF(A161="","",IF(AA161="Rejected",IF(AB161&lt;&gt;"","REJECTED","ADD REASON"),IF(AND(B161&lt;&gt;"",C161&lt;&gt;"",D161&lt;&gt;"",E161&lt;&gt;"",F161&lt;&gt;"",G161&lt;&gt;"",H161&lt;&gt;"",J161&lt;&gt;"",K161&lt;&gt;"",L161&lt;&gt;"",M161&lt;&gt;"",N161&lt;&gt;"",O161&lt;&gt;"",P161&lt;&gt;"",Q161&lt;&gt;"",R161&lt;&gt;"",S161&lt;&gt;"",T161&lt;&gt;"",U161&lt;&gt;"",V161&lt;&gt;"",W161&lt;&gt;"",X161&lt;&gt;"",Y161&lt;&gt;"",AC161="UNIQUE"),"READY","CHECK")))</f>
        <v/>
      </c>
    </row>
    <row r="162">
      <c r="A162" s="25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37" t="n"/>
      <c r="K162" s="34" t="n"/>
      <c r="L162" s="26" t="n"/>
      <c r="M162" s="37" t="n"/>
      <c r="N162" s="37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34" t="n"/>
      <c r="Y162" s="26" t="n"/>
      <c r="Z162" s="26" t="n"/>
      <c r="AA162" s="26" t="n"/>
      <c r="AB162" s="27" t="n"/>
      <c r="AC162" s="32">
        <f>IF(A162="","",IF(COUNTIF($H$5:$H$1004,H162)&gt;1,"DUPLICATE","UNIQUE"))</f>
        <v/>
      </c>
      <c r="AD162" s="32">
        <f>IF(A162="","",IF(AA162="Rejected",IF(AB162&lt;&gt;"","REJECTED","ADD REASON"),IF(AND(B162&lt;&gt;"",C162&lt;&gt;"",D162&lt;&gt;"",E162&lt;&gt;"",F162&lt;&gt;"",G162&lt;&gt;"",H162&lt;&gt;"",J162&lt;&gt;"",K162&lt;&gt;"",L162&lt;&gt;"",M162&lt;&gt;"",N162&lt;&gt;"",O162&lt;&gt;"",P162&lt;&gt;"",Q162&lt;&gt;"",R162&lt;&gt;"",S162&lt;&gt;"",T162&lt;&gt;"",U162&lt;&gt;"",V162&lt;&gt;"",W162&lt;&gt;"",X162&lt;&gt;"",Y162&lt;&gt;"",AC162="UNIQUE"),"READY","CHECK")))</f>
        <v/>
      </c>
    </row>
    <row r="163">
      <c r="A163" s="25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37" t="n"/>
      <c r="K163" s="34" t="n"/>
      <c r="L163" s="26" t="n"/>
      <c r="M163" s="37" t="n"/>
      <c r="N163" s="37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34" t="n"/>
      <c r="Y163" s="26" t="n"/>
      <c r="Z163" s="26" t="n"/>
      <c r="AA163" s="26" t="n"/>
      <c r="AB163" s="27" t="n"/>
      <c r="AC163" s="32">
        <f>IF(A163="","",IF(COUNTIF($H$5:$H$1004,H163)&gt;1,"DUPLICATE","UNIQUE"))</f>
        <v/>
      </c>
      <c r="AD163" s="32">
        <f>IF(A163="","",IF(AA163="Rejected",IF(AB163&lt;&gt;"","REJECTED","ADD REASON"),IF(AND(B163&lt;&gt;"",C163&lt;&gt;"",D163&lt;&gt;"",E163&lt;&gt;"",F163&lt;&gt;"",G163&lt;&gt;"",H163&lt;&gt;"",J163&lt;&gt;"",K163&lt;&gt;"",L163&lt;&gt;"",M163&lt;&gt;"",N163&lt;&gt;"",O163&lt;&gt;"",P163&lt;&gt;"",Q163&lt;&gt;"",R163&lt;&gt;"",S163&lt;&gt;"",T163&lt;&gt;"",U163&lt;&gt;"",V163&lt;&gt;"",W163&lt;&gt;"",X163&lt;&gt;"",Y163&lt;&gt;"",AC163="UNIQUE"),"READY","CHECK")))</f>
        <v/>
      </c>
    </row>
    <row r="164">
      <c r="A164" s="25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37" t="n"/>
      <c r="K164" s="34" t="n"/>
      <c r="L164" s="26" t="n"/>
      <c r="M164" s="37" t="n"/>
      <c r="N164" s="37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34" t="n"/>
      <c r="Y164" s="26" t="n"/>
      <c r="Z164" s="26" t="n"/>
      <c r="AA164" s="26" t="n"/>
      <c r="AB164" s="27" t="n"/>
      <c r="AC164" s="32">
        <f>IF(A164="","",IF(COUNTIF($H$5:$H$1004,H164)&gt;1,"DUPLICATE","UNIQUE"))</f>
        <v/>
      </c>
      <c r="AD164" s="32">
        <f>IF(A164="","",IF(AA164="Rejected",IF(AB164&lt;&gt;"","REJECTED","ADD REASON"),IF(AND(B164&lt;&gt;"",C164&lt;&gt;"",D164&lt;&gt;"",E164&lt;&gt;"",F164&lt;&gt;"",G164&lt;&gt;"",H164&lt;&gt;"",J164&lt;&gt;"",K164&lt;&gt;"",L164&lt;&gt;"",M164&lt;&gt;"",N164&lt;&gt;"",O164&lt;&gt;"",P164&lt;&gt;"",Q164&lt;&gt;"",R164&lt;&gt;"",S164&lt;&gt;"",T164&lt;&gt;"",U164&lt;&gt;"",V164&lt;&gt;"",W164&lt;&gt;"",X164&lt;&gt;"",Y164&lt;&gt;"",AC164="UNIQUE"),"READY","CHECK")))</f>
        <v/>
      </c>
    </row>
    <row r="165">
      <c r="A165" s="25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37" t="n"/>
      <c r="K165" s="34" t="n"/>
      <c r="L165" s="26" t="n"/>
      <c r="M165" s="37" t="n"/>
      <c r="N165" s="37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34" t="n"/>
      <c r="Y165" s="26" t="n"/>
      <c r="Z165" s="26" t="n"/>
      <c r="AA165" s="26" t="n"/>
      <c r="AB165" s="27" t="n"/>
      <c r="AC165" s="32">
        <f>IF(A165="","",IF(COUNTIF($H$5:$H$1004,H165)&gt;1,"DUPLICATE","UNIQUE"))</f>
        <v/>
      </c>
      <c r="AD165" s="32">
        <f>IF(A165="","",IF(AA165="Rejected",IF(AB165&lt;&gt;"","REJECTED","ADD REASON"),IF(AND(B165&lt;&gt;"",C165&lt;&gt;"",D165&lt;&gt;"",E165&lt;&gt;"",F165&lt;&gt;"",G165&lt;&gt;"",H165&lt;&gt;"",J165&lt;&gt;"",K165&lt;&gt;"",L165&lt;&gt;"",M165&lt;&gt;"",N165&lt;&gt;"",O165&lt;&gt;"",P165&lt;&gt;"",Q165&lt;&gt;"",R165&lt;&gt;"",S165&lt;&gt;"",T165&lt;&gt;"",U165&lt;&gt;"",V165&lt;&gt;"",W165&lt;&gt;"",X165&lt;&gt;"",Y165&lt;&gt;"",AC165="UNIQUE"),"READY","CHECK")))</f>
        <v/>
      </c>
    </row>
    <row r="166">
      <c r="A166" s="25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37" t="n"/>
      <c r="K166" s="34" t="n"/>
      <c r="L166" s="26" t="n"/>
      <c r="M166" s="37" t="n"/>
      <c r="N166" s="37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34" t="n"/>
      <c r="Y166" s="26" t="n"/>
      <c r="Z166" s="26" t="n"/>
      <c r="AA166" s="26" t="n"/>
      <c r="AB166" s="27" t="n"/>
      <c r="AC166" s="32">
        <f>IF(A166="","",IF(COUNTIF($H$5:$H$1004,H166)&gt;1,"DUPLICATE","UNIQUE"))</f>
        <v/>
      </c>
      <c r="AD166" s="32">
        <f>IF(A166="","",IF(AA166="Rejected",IF(AB166&lt;&gt;"","REJECTED","ADD REASON"),IF(AND(B166&lt;&gt;"",C166&lt;&gt;"",D166&lt;&gt;"",E166&lt;&gt;"",F166&lt;&gt;"",G166&lt;&gt;"",H166&lt;&gt;"",J166&lt;&gt;"",K166&lt;&gt;"",L166&lt;&gt;"",M166&lt;&gt;"",N166&lt;&gt;"",O166&lt;&gt;"",P166&lt;&gt;"",Q166&lt;&gt;"",R166&lt;&gt;"",S166&lt;&gt;"",T166&lt;&gt;"",U166&lt;&gt;"",V166&lt;&gt;"",W166&lt;&gt;"",X166&lt;&gt;"",Y166&lt;&gt;"",AC166="UNIQUE"),"READY","CHECK")))</f>
        <v/>
      </c>
    </row>
    <row r="167">
      <c r="A167" s="25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37" t="n"/>
      <c r="K167" s="34" t="n"/>
      <c r="L167" s="26" t="n"/>
      <c r="M167" s="37" t="n"/>
      <c r="N167" s="37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34" t="n"/>
      <c r="Y167" s="26" t="n"/>
      <c r="Z167" s="26" t="n"/>
      <c r="AA167" s="26" t="n"/>
      <c r="AB167" s="27" t="n"/>
      <c r="AC167" s="32">
        <f>IF(A167="","",IF(COUNTIF($H$5:$H$1004,H167)&gt;1,"DUPLICATE","UNIQUE"))</f>
        <v/>
      </c>
      <c r="AD167" s="32">
        <f>IF(A167="","",IF(AA167="Rejected",IF(AB167&lt;&gt;"","REJECTED","ADD REASON"),IF(AND(B167&lt;&gt;"",C167&lt;&gt;"",D167&lt;&gt;"",E167&lt;&gt;"",F167&lt;&gt;"",G167&lt;&gt;"",H167&lt;&gt;"",J167&lt;&gt;"",K167&lt;&gt;"",L167&lt;&gt;"",M167&lt;&gt;"",N167&lt;&gt;"",O167&lt;&gt;"",P167&lt;&gt;"",Q167&lt;&gt;"",R167&lt;&gt;"",S167&lt;&gt;"",T167&lt;&gt;"",U167&lt;&gt;"",V167&lt;&gt;"",W167&lt;&gt;"",X167&lt;&gt;"",Y167&lt;&gt;"",AC167="UNIQUE"),"READY","CHECK")))</f>
        <v/>
      </c>
    </row>
    <row r="168">
      <c r="A168" s="25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37" t="n"/>
      <c r="K168" s="34" t="n"/>
      <c r="L168" s="26" t="n"/>
      <c r="M168" s="37" t="n"/>
      <c r="N168" s="37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34" t="n"/>
      <c r="Y168" s="26" t="n"/>
      <c r="Z168" s="26" t="n"/>
      <c r="AA168" s="26" t="n"/>
      <c r="AB168" s="27" t="n"/>
      <c r="AC168" s="32">
        <f>IF(A168="","",IF(COUNTIF($H$5:$H$1004,H168)&gt;1,"DUPLICATE","UNIQUE"))</f>
        <v/>
      </c>
      <c r="AD168" s="32">
        <f>IF(A168="","",IF(AA168="Rejected",IF(AB168&lt;&gt;"","REJECTED","ADD REASON"),IF(AND(B168&lt;&gt;"",C168&lt;&gt;"",D168&lt;&gt;"",E168&lt;&gt;"",F168&lt;&gt;"",G168&lt;&gt;"",H168&lt;&gt;"",J168&lt;&gt;"",K168&lt;&gt;"",L168&lt;&gt;"",M168&lt;&gt;"",N168&lt;&gt;"",O168&lt;&gt;"",P168&lt;&gt;"",Q168&lt;&gt;"",R168&lt;&gt;"",S168&lt;&gt;"",T168&lt;&gt;"",U168&lt;&gt;"",V168&lt;&gt;"",W168&lt;&gt;"",X168&lt;&gt;"",Y168&lt;&gt;"",AC168="UNIQUE"),"READY","CHECK")))</f>
        <v/>
      </c>
    </row>
    <row r="169">
      <c r="A169" s="25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37" t="n"/>
      <c r="K169" s="34" t="n"/>
      <c r="L169" s="26" t="n"/>
      <c r="M169" s="37" t="n"/>
      <c r="N169" s="37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34" t="n"/>
      <c r="Y169" s="26" t="n"/>
      <c r="Z169" s="26" t="n"/>
      <c r="AA169" s="26" t="n"/>
      <c r="AB169" s="27" t="n"/>
      <c r="AC169" s="32">
        <f>IF(A169="","",IF(COUNTIF($H$5:$H$1004,H169)&gt;1,"DUPLICATE","UNIQUE"))</f>
        <v/>
      </c>
      <c r="AD169" s="32">
        <f>IF(A169="","",IF(AA169="Rejected",IF(AB169&lt;&gt;"","REJECTED","ADD REASON"),IF(AND(B169&lt;&gt;"",C169&lt;&gt;"",D169&lt;&gt;"",E169&lt;&gt;"",F169&lt;&gt;"",G169&lt;&gt;"",H169&lt;&gt;"",J169&lt;&gt;"",K169&lt;&gt;"",L169&lt;&gt;"",M169&lt;&gt;"",N169&lt;&gt;"",O169&lt;&gt;"",P169&lt;&gt;"",Q169&lt;&gt;"",R169&lt;&gt;"",S169&lt;&gt;"",T169&lt;&gt;"",U169&lt;&gt;"",V169&lt;&gt;"",W169&lt;&gt;"",X169&lt;&gt;"",Y169&lt;&gt;"",AC169="UNIQUE"),"READY","CHECK")))</f>
        <v/>
      </c>
    </row>
    <row r="170">
      <c r="A170" s="25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37" t="n"/>
      <c r="K170" s="34" t="n"/>
      <c r="L170" s="26" t="n"/>
      <c r="M170" s="37" t="n"/>
      <c r="N170" s="37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34" t="n"/>
      <c r="Y170" s="26" t="n"/>
      <c r="Z170" s="26" t="n"/>
      <c r="AA170" s="26" t="n"/>
      <c r="AB170" s="27" t="n"/>
      <c r="AC170" s="32">
        <f>IF(A170="","",IF(COUNTIF($H$5:$H$1004,H170)&gt;1,"DUPLICATE","UNIQUE"))</f>
        <v/>
      </c>
      <c r="AD170" s="32">
        <f>IF(A170="","",IF(AA170="Rejected",IF(AB170&lt;&gt;"","REJECTED","ADD REASON"),IF(AND(B170&lt;&gt;"",C170&lt;&gt;"",D170&lt;&gt;"",E170&lt;&gt;"",F170&lt;&gt;"",G170&lt;&gt;"",H170&lt;&gt;"",J170&lt;&gt;"",K170&lt;&gt;"",L170&lt;&gt;"",M170&lt;&gt;"",N170&lt;&gt;"",O170&lt;&gt;"",P170&lt;&gt;"",Q170&lt;&gt;"",R170&lt;&gt;"",S170&lt;&gt;"",T170&lt;&gt;"",U170&lt;&gt;"",V170&lt;&gt;"",W170&lt;&gt;"",X170&lt;&gt;"",Y170&lt;&gt;"",AC170="UNIQUE"),"READY","CHECK")))</f>
        <v/>
      </c>
    </row>
    <row r="171">
      <c r="A171" s="25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37" t="n"/>
      <c r="K171" s="34" t="n"/>
      <c r="L171" s="26" t="n"/>
      <c r="M171" s="37" t="n"/>
      <c r="N171" s="37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34" t="n"/>
      <c r="Y171" s="26" t="n"/>
      <c r="Z171" s="26" t="n"/>
      <c r="AA171" s="26" t="n"/>
      <c r="AB171" s="27" t="n"/>
      <c r="AC171" s="32">
        <f>IF(A171="","",IF(COUNTIF($H$5:$H$1004,H171)&gt;1,"DUPLICATE","UNIQUE"))</f>
        <v/>
      </c>
      <c r="AD171" s="32">
        <f>IF(A171="","",IF(AA171="Rejected",IF(AB171&lt;&gt;"","REJECTED","ADD REASON"),IF(AND(B171&lt;&gt;"",C171&lt;&gt;"",D171&lt;&gt;"",E171&lt;&gt;"",F171&lt;&gt;"",G171&lt;&gt;"",H171&lt;&gt;"",J171&lt;&gt;"",K171&lt;&gt;"",L171&lt;&gt;"",M171&lt;&gt;"",N171&lt;&gt;"",O171&lt;&gt;"",P171&lt;&gt;"",Q171&lt;&gt;"",R171&lt;&gt;"",S171&lt;&gt;"",T171&lt;&gt;"",U171&lt;&gt;"",V171&lt;&gt;"",W171&lt;&gt;"",X171&lt;&gt;"",Y171&lt;&gt;"",AC171="UNIQUE"),"READY","CHECK")))</f>
        <v/>
      </c>
    </row>
    <row r="172">
      <c r="A172" s="25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37" t="n"/>
      <c r="K172" s="34" t="n"/>
      <c r="L172" s="26" t="n"/>
      <c r="M172" s="37" t="n"/>
      <c r="N172" s="37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34" t="n"/>
      <c r="Y172" s="26" t="n"/>
      <c r="Z172" s="26" t="n"/>
      <c r="AA172" s="26" t="n"/>
      <c r="AB172" s="27" t="n"/>
      <c r="AC172" s="32">
        <f>IF(A172="","",IF(COUNTIF($H$5:$H$1004,H172)&gt;1,"DUPLICATE","UNIQUE"))</f>
        <v/>
      </c>
      <c r="AD172" s="32">
        <f>IF(A172="","",IF(AA172="Rejected",IF(AB172&lt;&gt;"","REJECTED","ADD REASON"),IF(AND(B172&lt;&gt;"",C172&lt;&gt;"",D172&lt;&gt;"",E172&lt;&gt;"",F172&lt;&gt;"",G172&lt;&gt;"",H172&lt;&gt;"",J172&lt;&gt;"",K172&lt;&gt;"",L172&lt;&gt;"",M172&lt;&gt;"",N172&lt;&gt;"",O172&lt;&gt;"",P172&lt;&gt;"",Q172&lt;&gt;"",R172&lt;&gt;"",S172&lt;&gt;"",T172&lt;&gt;"",U172&lt;&gt;"",V172&lt;&gt;"",W172&lt;&gt;"",X172&lt;&gt;"",Y172&lt;&gt;"",AC172="UNIQUE"),"READY","CHECK")))</f>
        <v/>
      </c>
    </row>
    <row r="173">
      <c r="A173" s="25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37" t="n"/>
      <c r="K173" s="34" t="n"/>
      <c r="L173" s="26" t="n"/>
      <c r="M173" s="37" t="n"/>
      <c r="N173" s="37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34" t="n"/>
      <c r="Y173" s="26" t="n"/>
      <c r="Z173" s="26" t="n"/>
      <c r="AA173" s="26" t="n"/>
      <c r="AB173" s="27" t="n"/>
      <c r="AC173" s="32">
        <f>IF(A173="","",IF(COUNTIF($H$5:$H$1004,H173)&gt;1,"DUPLICATE","UNIQUE"))</f>
        <v/>
      </c>
      <c r="AD173" s="32">
        <f>IF(A173="","",IF(AA173="Rejected",IF(AB173&lt;&gt;"","REJECTED","ADD REASON"),IF(AND(B173&lt;&gt;"",C173&lt;&gt;"",D173&lt;&gt;"",E173&lt;&gt;"",F173&lt;&gt;"",G173&lt;&gt;"",H173&lt;&gt;"",J173&lt;&gt;"",K173&lt;&gt;"",L173&lt;&gt;"",M173&lt;&gt;"",N173&lt;&gt;"",O173&lt;&gt;"",P173&lt;&gt;"",Q173&lt;&gt;"",R173&lt;&gt;"",S173&lt;&gt;"",T173&lt;&gt;"",U173&lt;&gt;"",V173&lt;&gt;"",W173&lt;&gt;"",X173&lt;&gt;"",Y173&lt;&gt;"",AC173="UNIQUE"),"READY","CHECK")))</f>
        <v/>
      </c>
    </row>
    <row r="174">
      <c r="A174" s="25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37" t="n"/>
      <c r="K174" s="34" t="n"/>
      <c r="L174" s="26" t="n"/>
      <c r="M174" s="37" t="n"/>
      <c r="N174" s="37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34" t="n"/>
      <c r="Y174" s="26" t="n"/>
      <c r="Z174" s="26" t="n"/>
      <c r="AA174" s="26" t="n"/>
      <c r="AB174" s="27" t="n"/>
      <c r="AC174" s="32">
        <f>IF(A174="","",IF(COUNTIF($H$5:$H$1004,H174)&gt;1,"DUPLICATE","UNIQUE"))</f>
        <v/>
      </c>
      <c r="AD174" s="32">
        <f>IF(A174="","",IF(AA174="Rejected",IF(AB174&lt;&gt;"","REJECTED","ADD REASON"),IF(AND(B174&lt;&gt;"",C174&lt;&gt;"",D174&lt;&gt;"",E174&lt;&gt;"",F174&lt;&gt;"",G174&lt;&gt;"",H174&lt;&gt;"",J174&lt;&gt;"",K174&lt;&gt;"",L174&lt;&gt;"",M174&lt;&gt;"",N174&lt;&gt;"",O174&lt;&gt;"",P174&lt;&gt;"",Q174&lt;&gt;"",R174&lt;&gt;"",S174&lt;&gt;"",T174&lt;&gt;"",U174&lt;&gt;"",V174&lt;&gt;"",W174&lt;&gt;"",X174&lt;&gt;"",Y174&lt;&gt;"",AC174="UNIQUE"),"READY","CHECK")))</f>
        <v/>
      </c>
    </row>
    <row r="175">
      <c r="A175" s="25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37" t="n"/>
      <c r="K175" s="34" t="n"/>
      <c r="L175" s="26" t="n"/>
      <c r="M175" s="37" t="n"/>
      <c r="N175" s="37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34" t="n"/>
      <c r="Y175" s="26" t="n"/>
      <c r="Z175" s="26" t="n"/>
      <c r="AA175" s="26" t="n"/>
      <c r="AB175" s="27" t="n"/>
      <c r="AC175" s="32">
        <f>IF(A175="","",IF(COUNTIF($H$5:$H$1004,H175)&gt;1,"DUPLICATE","UNIQUE"))</f>
        <v/>
      </c>
      <c r="AD175" s="32">
        <f>IF(A175="","",IF(AA175="Rejected",IF(AB175&lt;&gt;"","REJECTED","ADD REASON"),IF(AND(B175&lt;&gt;"",C175&lt;&gt;"",D175&lt;&gt;"",E175&lt;&gt;"",F175&lt;&gt;"",G175&lt;&gt;"",H175&lt;&gt;"",J175&lt;&gt;"",K175&lt;&gt;"",L175&lt;&gt;"",M175&lt;&gt;"",N175&lt;&gt;"",O175&lt;&gt;"",P175&lt;&gt;"",Q175&lt;&gt;"",R175&lt;&gt;"",S175&lt;&gt;"",T175&lt;&gt;"",U175&lt;&gt;"",V175&lt;&gt;"",W175&lt;&gt;"",X175&lt;&gt;"",Y175&lt;&gt;"",AC175="UNIQUE"),"READY","CHECK")))</f>
        <v/>
      </c>
    </row>
    <row r="176">
      <c r="A176" s="25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37" t="n"/>
      <c r="K176" s="34" t="n"/>
      <c r="L176" s="26" t="n"/>
      <c r="M176" s="37" t="n"/>
      <c r="N176" s="37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34" t="n"/>
      <c r="Y176" s="26" t="n"/>
      <c r="Z176" s="26" t="n"/>
      <c r="AA176" s="26" t="n"/>
      <c r="AB176" s="27" t="n"/>
      <c r="AC176" s="32">
        <f>IF(A176="","",IF(COUNTIF($H$5:$H$1004,H176)&gt;1,"DUPLICATE","UNIQUE"))</f>
        <v/>
      </c>
      <c r="AD176" s="32">
        <f>IF(A176="","",IF(AA176="Rejected",IF(AB176&lt;&gt;"","REJECTED","ADD REASON"),IF(AND(B176&lt;&gt;"",C176&lt;&gt;"",D176&lt;&gt;"",E176&lt;&gt;"",F176&lt;&gt;"",G176&lt;&gt;"",H176&lt;&gt;"",J176&lt;&gt;"",K176&lt;&gt;"",L176&lt;&gt;"",M176&lt;&gt;"",N176&lt;&gt;"",O176&lt;&gt;"",P176&lt;&gt;"",Q176&lt;&gt;"",R176&lt;&gt;"",S176&lt;&gt;"",T176&lt;&gt;"",U176&lt;&gt;"",V176&lt;&gt;"",W176&lt;&gt;"",X176&lt;&gt;"",Y176&lt;&gt;"",AC176="UNIQUE"),"READY","CHECK")))</f>
        <v/>
      </c>
    </row>
    <row r="177">
      <c r="A177" s="25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37" t="n"/>
      <c r="K177" s="34" t="n"/>
      <c r="L177" s="26" t="n"/>
      <c r="M177" s="37" t="n"/>
      <c r="N177" s="37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34" t="n"/>
      <c r="Y177" s="26" t="n"/>
      <c r="Z177" s="26" t="n"/>
      <c r="AA177" s="26" t="n"/>
      <c r="AB177" s="27" t="n"/>
      <c r="AC177" s="32">
        <f>IF(A177="","",IF(COUNTIF($H$5:$H$1004,H177)&gt;1,"DUPLICATE","UNIQUE"))</f>
        <v/>
      </c>
      <c r="AD177" s="32">
        <f>IF(A177="","",IF(AA177="Rejected",IF(AB177&lt;&gt;"","REJECTED","ADD REASON"),IF(AND(B177&lt;&gt;"",C177&lt;&gt;"",D177&lt;&gt;"",E177&lt;&gt;"",F177&lt;&gt;"",G177&lt;&gt;"",H177&lt;&gt;"",J177&lt;&gt;"",K177&lt;&gt;"",L177&lt;&gt;"",M177&lt;&gt;"",N177&lt;&gt;"",O177&lt;&gt;"",P177&lt;&gt;"",Q177&lt;&gt;"",R177&lt;&gt;"",S177&lt;&gt;"",T177&lt;&gt;"",U177&lt;&gt;"",V177&lt;&gt;"",W177&lt;&gt;"",X177&lt;&gt;"",Y177&lt;&gt;"",AC177="UNIQUE"),"READY","CHECK")))</f>
        <v/>
      </c>
    </row>
    <row r="178">
      <c r="A178" s="25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37" t="n"/>
      <c r="K178" s="34" t="n"/>
      <c r="L178" s="26" t="n"/>
      <c r="M178" s="37" t="n"/>
      <c r="N178" s="37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34" t="n"/>
      <c r="Y178" s="26" t="n"/>
      <c r="Z178" s="26" t="n"/>
      <c r="AA178" s="26" t="n"/>
      <c r="AB178" s="27" t="n"/>
      <c r="AC178" s="32">
        <f>IF(A178="","",IF(COUNTIF($H$5:$H$1004,H178)&gt;1,"DUPLICATE","UNIQUE"))</f>
        <v/>
      </c>
      <c r="AD178" s="32">
        <f>IF(A178="","",IF(AA178="Rejected",IF(AB178&lt;&gt;"","REJECTED","ADD REASON"),IF(AND(B178&lt;&gt;"",C178&lt;&gt;"",D178&lt;&gt;"",E178&lt;&gt;"",F178&lt;&gt;"",G178&lt;&gt;"",H178&lt;&gt;"",J178&lt;&gt;"",K178&lt;&gt;"",L178&lt;&gt;"",M178&lt;&gt;"",N178&lt;&gt;"",O178&lt;&gt;"",P178&lt;&gt;"",Q178&lt;&gt;"",R178&lt;&gt;"",S178&lt;&gt;"",T178&lt;&gt;"",U178&lt;&gt;"",V178&lt;&gt;"",W178&lt;&gt;"",X178&lt;&gt;"",Y178&lt;&gt;"",AC178="UNIQUE"),"READY","CHECK")))</f>
        <v/>
      </c>
    </row>
    <row r="179">
      <c r="A179" s="25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37" t="n"/>
      <c r="K179" s="34" t="n"/>
      <c r="L179" s="26" t="n"/>
      <c r="M179" s="37" t="n"/>
      <c r="N179" s="37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34" t="n"/>
      <c r="Y179" s="26" t="n"/>
      <c r="Z179" s="26" t="n"/>
      <c r="AA179" s="26" t="n"/>
      <c r="AB179" s="27" t="n"/>
      <c r="AC179" s="32">
        <f>IF(A179="","",IF(COUNTIF($H$5:$H$1004,H179)&gt;1,"DUPLICATE","UNIQUE"))</f>
        <v/>
      </c>
      <c r="AD179" s="32">
        <f>IF(A179="","",IF(AA179="Rejected",IF(AB179&lt;&gt;"","REJECTED","ADD REASON"),IF(AND(B179&lt;&gt;"",C179&lt;&gt;"",D179&lt;&gt;"",E179&lt;&gt;"",F179&lt;&gt;"",G179&lt;&gt;"",H179&lt;&gt;"",J179&lt;&gt;"",K179&lt;&gt;"",L179&lt;&gt;"",M179&lt;&gt;"",N179&lt;&gt;"",O179&lt;&gt;"",P179&lt;&gt;"",Q179&lt;&gt;"",R179&lt;&gt;"",S179&lt;&gt;"",T179&lt;&gt;"",U179&lt;&gt;"",V179&lt;&gt;"",W179&lt;&gt;"",X179&lt;&gt;"",Y179&lt;&gt;"",AC179="UNIQUE"),"READY","CHECK")))</f>
        <v/>
      </c>
    </row>
    <row r="180">
      <c r="A180" s="25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37" t="n"/>
      <c r="K180" s="34" t="n"/>
      <c r="L180" s="26" t="n"/>
      <c r="M180" s="37" t="n"/>
      <c r="N180" s="37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34" t="n"/>
      <c r="Y180" s="26" t="n"/>
      <c r="Z180" s="26" t="n"/>
      <c r="AA180" s="26" t="n"/>
      <c r="AB180" s="27" t="n"/>
      <c r="AC180" s="32">
        <f>IF(A180="","",IF(COUNTIF($H$5:$H$1004,H180)&gt;1,"DUPLICATE","UNIQUE"))</f>
        <v/>
      </c>
      <c r="AD180" s="32">
        <f>IF(A180="","",IF(AA180="Rejected",IF(AB180&lt;&gt;"","REJECTED","ADD REASON"),IF(AND(B180&lt;&gt;"",C180&lt;&gt;"",D180&lt;&gt;"",E180&lt;&gt;"",F180&lt;&gt;"",G180&lt;&gt;"",H180&lt;&gt;"",J180&lt;&gt;"",K180&lt;&gt;"",L180&lt;&gt;"",M180&lt;&gt;"",N180&lt;&gt;"",O180&lt;&gt;"",P180&lt;&gt;"",Q180&lt;&gt;"",R180&lt;&gt;"",S180&lt;&gt;"",T180&lt;&gt;"",U180&lt;&gt;"",V180&lt;&gt;"",W180&lt;&gt;"",X180&lt;&gt;"",Y180&lt;&gt;"",AC180="UNIQUE"),"READY","CHECK")))</f>
        <v/>
      </c>
    </row>
    <row r="181">
      <c r="A181" s="25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37" t="n"/>
      <c r="K181" s="34" t="n"/>
      <c r="L181" s="26" t="n"/>
      <c r="M181" s="37" t="n"/>
      <c r="N181" s="37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34" t="n"/>
      <c r="Y181" s="26" t="n"/>
      <c r="Z181" s="26" t="n"/>
      <c r="AA181" s="26" t="n"/>
      <c r="AB181" s="27" t="n"/>
      <c r="AC181" s="32">
        <f>IF(A181="","",IF(COUNTIF($H$5:$H$1004,H181)&gt;1,"DUPLICATE","UNIQUE"))</f>
        <v/>
      </c>
      <c r="AD181" s="32">
        <f>IF(A181="","",IF(AA181="Rejected",IF(AB181&lt;&gt;"","REJECTED","ADD REASON"),IF(AND(B181&lt;&gt;"",C181&lt;&gt;"",D181&lt;&gt;"",E181&lt;&gt;"",F181&lt;&gt;"",G181&lt;&gt;"",H181&lt;&gt;"",J181&lt;&gt;"",K181&lt;&gt;"",L181&lt;&gt;"",M181&lt;&gt;"",N181&lt;&gt;"",O181&lt;&gt;"",P181&lt;&gt;"",Q181&lt;&gt;"",R181&lt;&gt;"",S181&lt;&gt;"",T181&lt;&gt;"",U181&lt;&gt;"",V181&lt;&gt;"",W181&lt;&gt;"",X181&lt;&gt;"",Y181&lt;&gt;"",AC181="UNIQUE"),"READY","CHECK")))</f>
        <v/>
      </c>
    </row>
    <row r="182">
      <c r="A182" s="25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37" t="n"/>
      <c r="K182" s="34" t="n"/>
      <c r="L182" s="26" t="n"/>
      <c r="M182" s="37" t="n"/>
      <c r="N182" s="37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34" t="n"/>
      <c r="Y182" s="26" t="n"/>
      <c r="Z182" s="26" t="n"/>
      <c r="AA182" s="26" t="n"/>
      <c r="AB182" s="27" t="n"/>
      <c r="AC182" s="32">
        <f>IF(A182="","",IF(COUNTIF($H$5:$H$1004,H182)&gt;1,"DUPLICATE","UNIQUE"))</f>
        <v/>
      </c>
      <c r="AD182" s="32">
        <f>IF(A182="","",IF(AA182="Rejected",IF(AB182&lt;&gt;"","REJECTED","ADD REASON"),IF(AND(B182&lt;&gt;"",C182&lt;&gt;"",D182&lt;&gt;"",E182&lt;&gt;"",F182&lt;&gt;"",G182&lt;&gt;"",H182&lt;&gt;"",J182&lt;&gt;"",K182&lt;&gt;"",L182&lt;&gt;"",M182&lt;&gt;"",N182&lt;&gt;"",O182&lt;&gt;"",P182&lt;&gt;"",Q182&lt;&gt;"",R182&lt;&gt;"",S182&lt;&gt;"",T182&lt;&gt;"",U182&lt;&gt;"",V182&lt;&gt;"",W182&lt;&gt;"",X182&lt;&gt;"",Y182&lt;&gt;"",AC182="UNIQUE"),"READY","CHECK")))</f>
        <v/>
      </c>
    </row>
    <row r="183">
      <c r="A183" s="25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37" t="n"/>
      <c r="K183" s="34" t="n"/>
      <c r="L183" s="26" t="n"/>
      <c r="M183" s="37" t="n"/>
      <c r="N183" s="37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34" t="n"/>
      <c r="Y183" s="26" t="n"/>
      <c r="Z183" s="26" t="n"/>
      <c r="AA183" s="26" t="n"/>
      <c r="AB183" s="27" t="n"/>
      <c r="AC183" s="32">
        <f>IF(A183="","",IF(COUNTIF($H$5:$H$1004,H183)&gt;1,"DUPLICATE","UNIQUE"))</f>
        <v/>
      </c>
      <c r="AD183" s="32">
        <f>IF(A183="","",IF(AA183="Rejected",IF(AB183&lt;&gt;"","REJECTED","ADD REASON"),IF(AND(B183&lt;&gt;"",C183&lt;&gt;"",D183&lt;&gt;"",E183&lt;&gt;"",F183&lt;&gt;"",G183&lt;&gt;"",H183&lt;&gt;"",J183&lt;&gt;"",K183&lt;&gt;"",L183&lt;&gt;"",M183&lt;&gt;"",N183&lt;&gt;"",O183&lt;&gt;"",P183&lt;&gt;"",Q183&lt;&gt;"",R183&lt;&gt;"",S183&lt;&gt;"",T183&lt;&gt;"",U183&lt;&gt;"",V183&lt;&gt;"",W183&lt;&gt;"",X183&lt;&gt;"",Y183&lt;&gt;"",AC183="UNIQUE"),"READY","CHECK")))</f>
        <v/>
      </c>
    </row>
    <row r="184">
      <c r="A184" s="25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37" t="n"/>
      <c r="K184" s="34" t="n"/>
      <c r="L184" s="26" t="n"/>
      <c r="M184" s="37" t="n"/>
      <c r="N184" s="37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34" t="n"/>
      <c r="Y184" s="26" t="n"/>
      <c r="Z184" s="26" t="n"/>
      <c r="AA184" s="26" t="n"/>
      <c r="AB184" s="27" t="n"/>
      <c r="AC184" s="32">
        <f>IF(A184="","",IF(COUNTIF($H$5:$H$1004,H184)&gt;1,"DUPLICATE","UNIQUE"))</f>
        <v/>
      </c>
      <c r="AD184" s="32">
        <f>IF(A184="","",IF(AA184="Rejected",IF(AB184&lt;&gt;"","REJECTED","ADD REASON"),IF(AND(B184&lt;&gt;"",C184&lt;&gt;"",D184&lt;&gt;"",E184&lt;&gt;"",F184&lt;&gt;"",G184&lt;&gt;"",H184&lt;&gt;"",J184&lt;&gt;"",K184&lt;&gt;"",L184&lt;&gt;"",M184&lt;&gt;"",N184&lt;&gt;"",O184&lt;&gt;"",P184&lt;&gt;"",Q184&lt;&gt;"",R184&lt;&gt;"",S184&lt;&gt;"",T184&lt;&gt;"",U184&lt;&gt;"",V184&lt;&gt;"",W184&lt;&gt;"",X184&lt;&gt;"",Y184&lt;&gt;"",AC184="UNIQUE"),"READY","CHECK")))</f>
        <v/>
      </c>
    </row>
    <row r="185">
      <c r="A185" s="25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37" t="n"/>
      <c r="K185" s="34" t="n"/>
      <c r="L185" s="26" t="n"/>
      <c r="M185" s="37" t="n"/>
      <c r="N185" s="37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34" t="n"/>
      <c r="Y185" s="26" t="n"/>
      <c r="Z185" s="26" t="n"/>
      <c r="AA185" s="26" t="n"/>
      <c r="AB185" s="27" t="n"/>
      <c r="AC185" s="32">
        <f>IF(A185="","",IF(COUNTIF($H$5:$H$1004,H185)&gt;1,"DUPLICATE","UNIQUE"))</f>
        <v/>
      </c>
      <c r="AD185" s="32">
        <f>IF(A185="","",IF(AA185="Rejected",IF(AB185&lt;&gt;"","REJECTED","ADD REASON"),IF(AND(B185&lt;&gt;"",C185&lt;&gt;"",D185&lt;&gt;"",E185&lt;&gt;"",F185&lt;&gt;"",G185&lt;&gt;"",H185&lt;&gt;"",J185&lt;&gt;"",K185&lt;&gt;"",L185&lt;&gt;"",M185&lt;&gt;"",N185&lt;&gt;"",O185&lt;&gt;"",P185&lt;&gt;"",Q185&lt;&gt;"",R185&lt;&gt;"",S185&lt;&gt;"",T185&lt;&gt;"",U185&lt;&gt;"",V185&lt;&gt;"",W185&lt;&gt;"",X185&lt;&gt;"",Y185&lt;&gt;"",AC185="UNIQUE"),"READY","CHECK")))</f>
        <v/>
      </c>
    </row>
    <row r="186">
      <c r="A186" s="25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37" t="n"/>
      <c r="K186" s="34" t="n"/>
      <c r="L186" s="26" t="n"/>
      <c r="M186" s="37" t="n"/>
      <c r="N186" s="37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34" t="n"/>
      <c r="Y186" s="26" t="n"/>
      <c r="Z186" s="26" t="n"/>
      <c r="AA186" s="26" t="n"/>
      <c r="AB186" s="27" t="n"/>
      <c r="AC186" s="32">
        <f>IF(A186="","",IF(COUNTIF($H$5:$H$1004,H186)&gt;1,"DUPLICATE","UNIQUE"))</f>
        <v/>
      </c>
      <c r="AD186" s="32">
        <f>IF(A186="","",IF(AA186="Rejected",IF(AB186&lt;&gt;"","REJECTED","ADD REASON"),IF(AND(B186&lt;&gt;"",C186&lt;&gt;"",D186&lt;&gt;"",E186&lt;&gt;"",F186&lt;&gt;"",G186&lt;&gt;"",H186&lt;&gt;"",J186&lt;&gt;"",K186&lt;&gt;"",L186&lt;&gt;"",M186&lt;&gt;"",N186&lt;&gt;"",O186&lt;&gt;"",P186&lt;&gt;"",Q186&lt;&gt;"",R186&lt;&gt;"",S186&lt;&gt;"",T186&lt;&gt;"",U186&lt;&gt;"",V186&lt;&gt;"",W186&lt;&gt;"",X186&lt;&gt;"",Y186&lt;&gt;"",AC186="UNIQUE"),"READY","CHECK")))</f>
        <v/>
      </c>
    </row>
    <row r="187">
      <c r="A187" s="25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37" t="n"/>
      <c r="K187" s="34" t="n"/>
      <c r="L187" s="26" t="n"/>
      <c r="M187" s="37" t="n"/>
      <c r="N187" s="37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34" t="n"/>
      <c r="Y187" s="26" t="n"/>
      <c r="Z187" s="26" t="n"/>
      <c r="AA187" s="26" t="n"/>
      <c r="AB187" s="27" t="n"/>
      <c r="AC187" s="32">
        <f>IF(A187="","",IF(COUNTIF($H$5:$H$1004,H187)&gt;1,"DUPLICATE","UNIQUE"))</f>
        <v/>
      </c>
      <c r="AD187" s="32">
        <f>IF(A187="","",IF(AA187="Rejected",IF(AB187&lt;&gt;"","REJECTED","ADD REASON"),IF(AND(B187&lt;&gt;"",C187&lt;&gt;"",D187&lt;&gt;"",E187&lt;&gt;"",F187&lt;&gt;"",G187&lt;&gt;"",H187&lt;&gt;"",J187&lt;&gt;"",K187&lt;&gt;"",L187&lt;&gt;"",M187&lt;&gt;"",N187&lt;&gt;"",O187&lt;&gt;"",P187&lt;&gt;"",Q187&lt;&gt;"",R187&lt;&gt;"",S187&lt;&gt;"",T187&lt;&gt;"",U187&lt;&gt;"",V187&lt;&gt;"",W187&lt;&gt;"",X187&lt;&gt;"",Y187&lt;&gt;"",AC187="UNIQUE"),"READY","CHECK")))</f>
        <v/>
      </c>
    </row>
    <row r="188">
      <c r="A188" s="25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37" t="n"/>
      <c r="K188" s="34" t="n"/>
      <c r="L188" s="26" t="n"/>
      <c r="M188" s="37" t="n"/>
      <c r="N188" s="37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34" t="n"/>
      <c r="Y188" s="26" t="n"/>
      <c r="Z188" s="26" t="n"/>
      <c r="AA188" s="26" t="n"/>
      <c r="AB188" s="27" t="n"/>
      <c r="AC188" s="32">
        <f>IF(A188="","",IF(COUNTIF($H$5:$H$1004,H188)&gt;1,"DUPLICATE","UNIQUE"))</f>
        <v/>
      </c>
      <c r="AD188" s="32">
        <f>IF(A188="","",IF(AA188="Rejected",IF(AB188&lt;&gt;"","REJECTED","ADD REASON"),IF(AND(B188&lt;&gt;"",C188&lt;&gt;"",D188&lt;&gt;"",E188&lt;&gt;"",F188&lt;&gt;"",G188&lt;&gt;"",H188&lt;&gt;"",J188&lt;&gt;"",K188&lt;&gt;"",L188&lt;&gt;"",M188&lt;&gt;"",N188&lt;&gt;"",O188&lt;&gt;"",P188&lt;&gt;"",Q188&lt;&gt;"",R188&lt;&gt;"",S188&lt;&gt;"",T188&lt;&gt;"",U188&lt;&gt;"",V188&lt;&gt;"",W188&lt;&gt;"",X188&lt;&gt;"",Y188&lt;&gt;"",AC188="UNIQUE"),"READY","CHECK")))</f>
        <v/>
      </c>
    </row>
    <row r="189">
      <c r="A189" s="25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37" t="n"/>
      <c r="K189" s="34" t="n"/>
      <c r="L189" s="26" t="n"/>
      <c r="M189" s="37" t="n"/>
      <c r="N189" s="37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34" t="n"/>
      <c r="Y189" s="26" t="n"/>
      <c r="Z189" s="26" t="n"/>
      <c r="AA189" s="26" t="n"/>
      <c r="AB189" s="27" t="n"/>
      <c r="AC189" s="32">
        <f>IF(A189="","",IF(COUNTIF($H$5:$H$1004,H189)&gt;1,"DUPLICATE","UNIQUE"))</f>
        <v/>
      </c>
      <c r="AD189" s="32">
        <f>IF(A189="","",IF(AA189="Rejected",IF(AB189&lt;&gt;"","REJECTED","ADD REASON"),IF(AND(B189&lt;&gt;"",C189&lt;&gt;"",D189&lt;&gt;"",E189&lt;&gt;"",F189&lt;&gt;"",G189&lt;&gt;"",H189&lt;&gt;"",J189&lt;&gt;"",K189&lt;&gt;"",L189&lt;&gt;"",M189&lt;&gt;"",N189&lt;&gt;"",O189&lt;&gt;"",P189&lt;&gt;"",Q189&lt;&gt;"",R189&lt;&gt;"",S189&lt;&gt;"",T189&lt;&gt;"",U189&lt;&gt;"",V189&lt;&gt;"",W189&lt;&gt;"",X189&lt;&gt;"",Y189&lt;&gt;"",AC189="UNIQUE"),"READY","CHECK")))</f>
        <v/>
      </c>
    </row>
    <row r="190">
      <c r="A190" s="25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37" t="n"/>
      <c r="K190" s="34" t="n"/>
      <c r="L190" s="26" t="n"/>
      <c r="M190" s="37" t="n"/>
      <c r="N190" s="37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34" t="n"/>
      <c r="Y190" s="26" t="n"/>
      <c r="Z190" s="26" t="n"/>
      <c r="AA190" s="26" t="n"/>
      <c r="AB190" s="27" t="n"/>
      <c r="AC190" s="32">
        <f>IF(A190="","",IF(COUNTIF($H$5:$H$1004,H190)&gt;1,"DUPLICATE","UNIQUE"))</f>
        <v/>
      </c>
      <c r="AD190" s="32">
        <f>IF(A190="","",IF(AA190="Rejected",IF(AB190&lt;&gt;"","REJECTED","ADD REASON"),IF(AND(B190&lt;&gt;"",C190&lt;&gt;"",D190&lt;&gt;"",E190&lt;&gt;"",F190&lt;&gt;"",G190&lt;&gt;"",H190&lt;&gt;"",J190&lt;&gt;"",K190&lt;&gt;"",L190&lt;&gt;"",M190&lt;&gt;"",N190&lt;&gt;"",O190&lt;&gt;"",P190&lt;&gt;"",Q190&lt;&gt;"",R190&lt;&gt;"",S190&lt;&gt;"",T190&lt;&gt;"",U190&lt;&gt;"",V190&lt;&gt;"",W190&lt;&gt;"",X190&lt;&gt;"",Y190&lt;&gt;"",AC190="UNIQUE"),"READY","CHECK")))</f>
        <v/>
      </c>
    </row>
    <row r="191">
      <c r="A191" s="25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37" t="n"/>
      <c r="K191" s="34" t="n"/>
      <c r="L191" s="26" t="n"/>
      <c r="M191" s="37" t="n"/>
      <c r="N191" s="37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34" t="n"/>
      <c r="Y191" s="26" t="n"/>
      <c r="Z191" s="26" t="n"/>
      <c r="AA191" s="26" t="n"/>
      <c r="AB191" s="27" t="n"/>
      <c r="AC191" s="32">
        <f>IF(A191="","",IF(COUNTIF($H$5:$H$1004,H191)&gt;1,"DUPLICATE","UNIQUE"))</f>
        <v/>
      </c>
      <c r="AD191" s="32">
        <f>IF(A191="","",IF(AA191="Rejected",IF(AB191&lt;&gt;"","REJECTED","ADD REASON"),IF(AND(B191&lt;&gt;"",C191&lt;&gt;"",D191&lt;&gt;"",E191&lt;&gt;"",F191&lt;&gt;"",G191&lt;&gt;"",H191&lt;&gt;"",J191&lt;&gt;"",K191&lt;&gt;"",L191&lt;&gt;"",M191&lt;&gt;"",N191&lt;&gt;"",O191&lt;&gt;"",P191&lt;&gt;"",Q191&lt;&gt;"",R191&lt;&gt;"",S191&lt;&gt;"",T191&lt;&gt;"",U191&lt;&gt;"",V191&lt;&gt;"",W191&lt;&gt;"",X191&lt;&gt;"",Y191&lt;&gt;"",AC191="UNIQUE"),"READY","CHECK")))</f>
        <v/>
      </c>
    </row>
    <row r="192">
      <c r="A192" s="25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37" t="n"/>
      <c r="K192" s="34" t="n"/>
      <c r="L192" s="26" t="n"/>
      <c r="M192" s="37" t="n"/>
      <c r="N192" s="37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34" t="n"/>
      <c r="Y192" s="26" t="n"/>
      <c r="Z192" s="26" t="n"/>
      <c r="AA192" s="26" t="n"/>
      <c r="AB192" s="27" t="n"/>
      <c r="AC192" s="32">
        <f>IF(A192="","",IF(COUNTIF($H$5:$H$1004,H192)&gt;1,"DUPLICATE","UNIQUE"))</f>
        <v/>
      </c>
      <c r="AD192" s="32">
        <f>IF(A192="","",IF(AA192="Rejected",IF(AB192&lt;&gt;"","REJECTED","ADD REASON"),IF(AND(B192&lt;&gt;"",C192&lt;&gt;"",D192&lt;&gt;"",E192&lt;&gt;"",F192&lt;&gt;"",G192&lt;&gt;"",H192&lt;&gt;"",J192&lt;&gt;"",K192&lt;&gt;"",L192&lt;&gt;"",M192&lt;&gt;"",N192&lt;&gt;"",O192&lt;&gt;"",P192&lt;&gt;"",Q192&lt;&gt;"",R192&lt;&gt;"",S192&lt;&gt;"",T192&lt;&gt;"",U192&lt;&gt;"",V192&lt;&gt;"",W192&lt;&gt;"",X192&lt;&gt;"",Y192&lt;&gt;"",AC192="UNIQUE"),"READY","CHECK")))</f>
        <v/>
      </c>
    </row>
    <row r="193">
      <c r="A193" s="25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37" t="n"/>
      <c r="K193" s="34" t="n"/>
      <c r="L193" s="26" t="n"/>
      <c r="M193" s="37" t="n"/>
      <c r="N193" s="37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34" t="n"/>
      <c r="Y193" s="26" t="n"/>
      <c r="Z193" s="26" t="n"/>
      <c r="AA193" s="26" t="n"/>
      <c r="AB193" s="27" t="n"/>
      <c r="AC193" s="32">
        <f>IF(A193="","",IF(COUNTIF($H$5:$H$1004,H193)&gt;1,"DUPLICATE","UNIQUE"))</f>
        <v/>
      </c>
      <c r="AD193" s="32">
        <f>IF(A193="","",IF(AA193="Rejected",IF(AB193&lt;&gt;"","REJECTED","ADD REASON"),IF(AND(B193&lt;&gt;"",C193&lt;&gt;"",D193&lt;&gt;"",E193&lt;&gt;"",F193&lt;&gt;"",G193&lt;&gt;"",H193&lt;&gt;"",J193&lt;&gt;"",K193&lt;&gt;"",L193&lt;&gt;"",M193&lt;&gt;"",N193&lt;&gt;"",O193&lt;&gt;"",P193&lt;&gt;"",Q193&lt;&gt;"",R193&lt;&gt;"",S193&lt;&gt;"",T193&lt;&gt;"",U193&lt;&gt;"",V193&lt;&gt;"",W193&lt;&gt;"",X193&lt;&gt;"",Y193&lt;&gt;"",AC193="UNIQUE"),"READY","CHECK")))</f>
        <v/>
      </c>
    </row>
    <row r="194">
      <c r="A194" s="25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37" t="n"/>
      <c r="K194" s="34" t="n"/>
      <c r="L194" s="26" t="n"/>
      <c r="M194" s="37" t="n"/>
      <c r="N194" s="37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34" t="n"/>
      <c r="Y194" s="26" t="n"/>
      <c r="Z194" s="26" t="n"/>
      <c r="AA194" s="26" t="n"/>
      <c r="AB194" s="27" t="n"/>
      <c r="AC194" s="32">
        <f>IF(A194="","",IF(COUNTIF($H$5:$H$1004,H194)&gt;1,"DUPLICATE","UNIQUE"))</f>
        <v/>
      </c>
      <c r="AD194" s="32">
        <f>IF(A194="","",IF(AA194="Rejected",IF(AB194&lt;&gt;"","REJECTED","ADD REASON"),IF(AND(B194&lt;&gt;"",C194&lt;&gt;"",D194&lt;&gt;"",E194&lt;&gt;"",F194&lt;&gt;"",G194&lt;&gt;"",H194&lt;&gt;"",J194&lt;&gt;"",K194&lt;&gt;"",L194&lt;&gt;"",M194&lt;&gt;"",N194&lt;&gt;"",O194&lt;&gt;"",P194&lt;&gt;"",Q194&lt;&gt;"",R194&lt;&gt;"",S194&lt;&gt;"",T194&lt;&gt;"",U194&lt;&gt;"",V194&lt;&gt;"",W194&lt;&gt;"",X194&lt;&gt;"",Y194&lt;&gt;"",AC194="UNIQUE"),"READY","CHECK")))</f>
        <v/>
      </c>
    </row>
    <row r="195">
      <c r="A195" s="25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37" t="n"/>
      <c r="K195" s="34" t="n"/>
      <c r="L195" s="26" t="n"/>
      <c r="M195" s="37" t="n"/>
      <c r="N195" s="37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34" t="n"/>
      <c r="Y195" s="26" t="n"/>
      <c r="Z195" s="26" t="n"/>
      <c r="AA195" s="26" t="n"/>
      <c r="AB195" s="27" t="n"/>
      <c r="AC195" s="32">
        <f>IF(A195="","",IF(COUNTIF($H$5:$H$1004,H195)&gt;1,"DUPLICATE","UNIQUE"))</f>
        <v/>
      </c>
      <c r="AD195" s="32">
        <f>IF(A195="","",IF(AA195="Rejected",IF(AB195&lt;&gt;"","REJECTED","ADD REASON"),IF(AND(B195&lt;&gt;"",C195&lt;&gt;"",D195&lt;&gt;"",E195&lt;&gt;"",F195&lt;&gt;"",G195&lt;&gt;"",H195&lt;&gt;"",J195&lt;&gt;"",K195&lt;&gt;"",L195&lt;&gt;"",M195&lt;&gt;"",N195&lt;&gt;"",O195&lt;&gt;"",P195&lt;&gt;"",Q195&lt;&gt;"",R195&lt;&gt;"",S195&lt;&gt;"",T195&lt;&gt;"",U195&lt;&gt;"",V195&lt;&gt;"",W195&lt;&gt;"",X195&lt;&gt;"",Y195&lt;&gt;"",AC195="UNIQUE"),"READY","CHECK")))</f>
        <v/>
      </c>
    </row>
    <row r="196">
      <c r="A196" s="25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37" t="n"/>
      <c r="K196" s="34" t="n"/>
      <c r="L196" s="26" t="n"/>
      <c r="M196" s="37" t="n"/>
      <c r="N196" s="37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34" t="n"/>
      <c r="Y196" s="26" t="n"/>
      <c r="Z196" s="26" t="n"/>
      <c r="AA196" s="26" t="n"/>
      <c r="AB196" s="27" t="n"/>
      <c r="AC196" s="32">
        <f>IF(A196="","",IF(COUNTIF($H$5:$H$1004,H196)&gt;1,"DUPLICATE","UNIQUE"))</f>
        <v/>
      </c>
      <c r="AD196" s="32">
        <f>IF(A196="","",IF(AA196="Rejected",IF(AB196&lt;&gt;"","REJECTED","ADD REASON"),IF(AND(B196&lt;&gt;"",C196&lt;&gt;"",D196&lt;&gt;"",E196&lt;&gt;"",F196&lt;&gt;"",G196&lt;&gt;"",H196&lt;&gt;"",J196&lt;&gt;"",K196&lt;&gt;"",L196&lt;&gt;"",M196&lt;&gt;"",N196&lt;&gt;"",O196&lt;&gt;"",P196&lt;&gt;"",Q196&lt;&gt;"",R196&lt;&gt;"",S196&lt;&gt;"",T196&lt;&gt;"",U196&lt;&gt;"",V196&lt;&gt;"",W196&lt;&gt;"",X196&lt;&gt;"",Y196&lt;&gt;"",AC196="UNIQUE"),"READY","CHECK")))</f>
        <v/>
      </c>
    </row>
    <row r="197">
      <c r="A197" s="25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37" t="n"/>
      <c r="K197" s="34" t="n"/>
      <c r="L197" s="26" t="n"/>
      <c r="M197" s="37" t="n"/>
      <c r="N197" s="37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34" t="n"/>
      <c r="Y197" s="26" t="n"/>
      <c r="Z197" s="26" t="n"/>
      <c r="AA197" s="26" t="n"/>
      <c r="AB197" s="27" t="n"/>
      <c r="AC197" s="32">
        <f>IF(A197="","",IF(COUNTIF($H$5:$H$1004,H197)&gt;1,"DUPLICATE","UNIQUE"))</f>
        <v/>
      </c>
      <c r="AD197" s="32">
        <f>IF(A197="","",IF(AA197="Rejected",IF(AB197&lt;&gt;"","REJECTED","ADD REASON"),IF(AND(B197&lt;&gt;"",C197&lt;&gt;"",D197&lt;&gt;"",E197&lt;&gt;"",F197&lt;&gt;"",G197&lt;&gt;"",H197&lt;&gt;"",J197&lt;&gt;"",K197&lt;&gt;"",L197&lt;&gt;"",M197&lt;&gt;"",N197&lt;&gt;"",O197&lt;&gt;"",P197&lt;&gt;"",Q197&lt;&gt;"",R197&lt;&gt;"",S197&lt;&gt;"",T197&lt;&gt;"",U197&lt;&gt;"",V197&lt;&gt;"",W197&lt;&gt;"",X197&lt;&gt;"",Y197&lt;&gt;"",AC197="UNIQUE"),"READY","CHECK")))</f>
        <v/>
      </c>
    </row>
    <row r="198">
      <c r="A198" s="25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37" t="n"/>
      <c r="K198" s="34" t="n"/>
      <c r="L198" s="26" t="n"/>
      <c r="M198" s="37" t="n"/>
      <c r="N198" s="37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34" t="n"/>
      <c r="Y198" s="26" t="n"/>
      <c r="Z198" s="26" t="n"/>
      <c r="AA198" s="26" t="n"/>
      <c r="AB198" s="27" t="n"/>
      <c r="AC198" s="32">
        <f>IF(A198="","",IF(COUNTIF($H$5:$H$1004,H198)&gt;1,"DUPLICATE","UNIQUE"))</f>
        <v/>
      </c>
      <c r="AD198" s="32">
        <f>IF(A198="","",IF(AA198="Rejected",IF(AB198&lt;&gt;"","REJECTED","ADD REASON"),IF(AND(B198&lt;&gt;"",C198&lt;&gt;"",D198&lt;&gt;"",E198&lt;&gt;"",F198&lt;&gt;"",G198&lt;&gt;"",H198&lt;&gt;"",J198&lt;&gt;"",K198&lt;&gt;"",L198&lt;&gt;"",M198&lt;&gt;"",N198&lt;&gt;"",O198&lt;&gt;"",P198&lt;&gt;"",Q198&lt;&gt;"",R198&lt;&gt;"",S198&lt;&gt;"",T198&lt;&gt;"",U198&lt;&gt;"",V198&lt;&gt;"",W198&lt;&gt;"",X198&lt;&gt;"",Y198&lt;&gt;"",AC198="UNIQUE"),"READY","CHECK")))</f>
        <v/>
      </c>
    </row>
    <row r="199">
      <c r="A199" s="25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37" t="n"/>
      <c r="K199" s="34" t="n"/>
      <c r="L199" s="26" t="n"/>
      <c r="M199" s="37" t="n"/>
      <c r="N199" s="37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34" t="n"/>
      <c r="Y199" s="26" t="n"/>
      <c r="Z199" s="26" t="n"/>
      <c r="AA199" s="26" t="n"/>
      <c r="AB199" s="27" t="n"/>
      <c r="AC199" s="32">
        <f>IF(A199="","",IF(COUNTIF($H$5:$H$1004,H199)&gt;1,"DUPLICATE","UNIQUE"))</f>
        <v/>
      </c>
      <c r="AD199" s="32">
        <f>IF(A199="","",IF(AA199="Rejected",IF(AB199&lt;&gt;"","REJECTED","ADD REASON"),IF(AND(B199&lt;&gt;"",C199&lt;&gt;"",D199&lt;&gt;"",E199&lt;&gt;"",F199&lt;&gt;"",G199&lt;&gt;"",H199&lt;&gt;"",J199&lt;&gt;"",K199&lt;&gt;"",L199&lt;&gt;"",M199&lt;&gt;"",N199&lt;&gt;"",O199&lt;&gt;"",P199&lt;&gt;"",Q199&lt;&gt;"",R199&lt;&gt;"",S199&lt;&gt;"",T199&lt;&gt;"",U199&lt;&gt;"",V199&lt;&gt;"",W199&lt;&gt;"",X199&lt;&gt;"",Y199&lt;&gt;"",AC199="UNIQUE"),"READY","CHECK")))</f>
        <v/>
      </c>
    </row>
    <row r="200">
      <c r="A200" s="25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37" t="n"/>
      <c r="K200" s="34" t="n"/>
      <c r="L200" s="26" t="n"/>
      <c r="M200" s="37" t="n"/>
      <c r="N200" s="37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34" t="n"/>
      <c r="Y200" s="26" t="n"/>
      <c r="Z200" s="26" t="n"/>
      <c r="AA200" s="26" t="n"/>
      <c r="AB200" s="27" t="n"/>
      <c r="AC200" s="32">
        <f>IF(A200="","",IF(COUNTIF($H$5:$H$1004,H200)&gt;1,"DUPLICATE","UNIQUE"))</f>
        <v/>
      </c>
      <c r="AD200" s="32">
        <f>IF(A200="","",IF(AA200="Rejected",IF(AB200&lt;&gt;"","REJECTED","ADD REASON"),IF(AND(B200&lt;&gt;"",C200&lt;&gt;"",D200&lt;&gt;"",E200&lt;&gt;"",F200&lt;&gt;"",G200&lt;&gt;"",H200&lt;&gt;"",J200&lt;&gt;"",K200&lt;&gt;"",L200&lt;&gt;"",M200&lt;&gt;"",N200&lt;&gt;"",O200&lt;&gt;"",P200&lt;&gt;"",Q200&lt;&gt;"",R200&lt;&gt;"",S200&lt;&gt;"",T200&lt;&gt;"",U200&lt;&gt;"",V200&lt;&gt;"",W200&lt;&gt;"",X200&lt;&gt;"",Y200&lt;&gt;"",AC200="UNIQUE"),"READY","CHECK")))</f>
        <v/>
      </c>
    </row>
    <row r="201">
      <c r="A201" s="25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37" t="n"/>
      <c r="K201" s="34" t="n"/>
      <c r="L201" s="26" t="n"/>
      <c r="M201" s="37" t="n"/>
      <c r="N201" s="37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34" t="n"/>
      <c r="Y201" s="26" t="n"/>
      <c r="Z201" s="26" t="n"/>
      <c r="AA201" s="26" t="n"/>
      <c r="AB201" s="27" t="n"/>
      <c r="AC201" s="32">
        <f>IF(A201="","",IF(COUNTIF($H$5:$H$1004,H201)&gt;1,"DUPLICATE","UNIQUE"))</f>
        <v/>
      </c>
      <c r="AD201" s="32">
        <f>IF(A201="","",IF(AA201="Rejected",IF(AB201&lt;&gt;"","REJECTED","ADD REASON"),IF(AND(B201&lt;&gt;"",C201&lt;&gt;"",D201&lt;&gt;"",E201&lt;&gt;"",F201&lt;&gt;"",G201&lt;&gt;"",H201&lt;&gt;"",J201&lt;&gt;"",K201&lt;&gt;"",L201&lt;&gt;"",M201&lt;&gt;"",N201&lt;&gt;"",O201&lt;&gt;"",P201&lt;&gt;"",Q201&lt;&gt;"",R201&lt;&gt;"",S201&lt;&gt;"",T201&lt;&gt;"",U201&lt;&gt;"",V201&lt;&gt;"",W201&lt;&gt;"",X201&lt;&gt;"",Y201&lt;&gt;"",AC201="UNIQUE"),"READY","CHECK")))</f>
        <v/>
      </c>
    </row>
    <row r="202">
      <c r="A202" s="25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37" t="n"/>
      <c r="K202" s="34" t="n"/>
      <c r="L202" s="26" t="n"/>
      <c r="M202" s="37" t="n"/>
      <c r="N202" s="37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34" t="n"/>
      <c r="Y202" s="26" t="n"/>
      <c r="Z202" s="26" t="n"/>
      <c r="AA202" s="26" t="n"/>
      <c r="AB202" s="27" t="n"/>
      <c r="AC202" s="32">
        <f>IF(A202="","",IF(COUNTIF($H$5:$H$1004,H202)&gt;1,"DUPLICATE","UNIQUE"))</f>
        <v/>
      </c>
      <c r="AD202" s="32">
        <f>IF(A202="","",IF(AA202="Rejected",IF(AB202&lt;&gt;"","REJECTED","ADD REASON"),IF(AND(B202&lt;&gt;"",C202&lt;&gt;"",D202&lt;&gt;"",E202&lt;&gt;"",F202&lt;&gt;"",G202&lt;&gt;"",H202&lt;&gt;"",J202&lt;&gt;"",K202&lt;&gt;"",L202&lt;&gt;"",M202&lt;&gt;"",N202&lt;&gt;"",O202&lt;&gt;"",P202&lt;&gt;"",Q202&lt;&gt;"",R202&lt;&gt;"",S202&lt;&gt;"",T202&lt;&gt;"",U202&lt;&gt;"",V202&lt;&gt;"",W202&lt;&gt;"",X202&lt;&gt;"",Y202&lt;&gt;"",AC202="UNIQUE"),"READY","CHECK")))</f>
        <v/>
      </c>
    </row>
    <row r="203">
      <c r="A203" s="25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37" t="n"/>
      <c r="K203" s="34" t="n"/>
      <c r="L203" s="26" t="n"/>
      <c r="M203" s="37" t="n"/>
      <c r="N203" s="37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34" t="n"/>
      <c r="Y203" s="26" t="n"/>
      <c r="Z203" s="26" t="n"/>
      <c r="AA203" s="26" t="n"/>
      <c r="AB203" s="27" t="n"/>
      <c r="AC203" s="32">
        <f>IF(A203="","",IF(COUNTIF($H$5:$H$1004,H203)&gt;1,"DUPLICATE","UNIQUE"))</f>
        <v/>
      </c>
      <c r="AD203" s="32">
        <f>IF(A203="","",IF(AA203="Rejected",IF(AB203&lt;&gt;"","REJECTED","ADD REASON"),IF(AND(B203&lt;&gt;"",C203&lt;&gt;"",D203&lt;&gt;"",E203&lt;&gt;"",F203&lt;&gt;"",G203&lt;&gt;"",H203&lt;&gt;"",J203&lt;&gt;"",K203&lt;&gt;"",L203&lt;&gt;"",M203&lt;&gt;"",N203&lt;&gt;"",O203&lt;&gt;"",P203&lt;&gt;"",Q203&lt;&gt;"",R203&lt;&gt;"",S203&lt;&gt;"",T203&lt;&gt;"",U203&lt;&gt;"",V203&lt;&gt;"",W203&lt;&gt;"",X203&lt;&gt;"",Y203&lt;&gt;"",AC203="UNIQUE"),"READY","CHECK")))</f>
        <v/>
      </c>
    </row>
    <row r="204">
      <c r="A204" s="25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37" t="n"/>
      <c r="K204" s="34" t="n"/>
      <c r="L204" s="26" t="n"/>
      <c r="M204" s="37" t="n"/>
      <c r="N204" s="37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34" t="n"/>
      <c r="Y204" s="26" t="n"/>
      <c r="Z204" s="26" t="n"/>
      <c r="AA204" s="26" t="n"/>
      <c r="AB204" s="27" t="n"/>
      <c r="AC204" s="32">
        <f>IF(A204="","",IF(COUNTIF($H$5:$H$1004,H204)&gt;1,"DUPLICATE","UNIQUE"))</f>
        <v/>
      </c>
      <c r="AD204" s="32">
        <f>IF(A204="","",IF(AA204="Rejected",IF(AB204&lt;&gt;"","REJECTED","ADD REASON"),IF(AND(B204&lt;&gt;"",C204&lt;&gt;"",D204&lt;&gt;"",E204&lt;&gt;"",F204&lt;&gt;"",G204&lt;&gt;"",H204&lt;&gt;"",J204&lt;&gt;"",K204&lt;&gt;"",L204&lt;&gt;"",M204&lt;&gt;"",N204&lt;&gt;"",O204&lt;&gt;"",P204&lt;&gt;"",Q204&lt;&gt;"",R204&lt;&gt;"",S204&lt;&gt;"",T204&lt;&gt;"",U204&lt;&gt;"",V204&lt;&gt;"",W204&lt;&gt;"",X204&lt;&gt;"",Y204&lt;&gt;"",AC204="UNIQUE"),"READY","CHECK")))</f>
        <v/>
      </c>
    </row>
    <row r="205">
      <c r="A205" s="25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37" t="n"/>
      <c r="K205" s="34" t="n"/>
      <c r="L205" s="26" t="n"/>
      <c r="M205" s="37" t="n"/>
      <c r="N205" s="37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34" t="n"/>
      <c r="Y205" s="26" t="n"/>
      <c r="Z205" s="26" t="n"/>
      <c r="AA205" s="26" t="n"/>
      <c r="AB205" s="27" t="n"/>
      <c r="AC205" s="32">
        <f>IF(A205="","",IF(COUNTIF($H$5:$H$1004,H205)&gt;1,"DUPLICATE","UNIQUE"))</f>
        <v/>
      </c>
      <c r="AD205" s="32">
        <f>IF(A205="","",IF(AA205="Rejected",IF(AB205&lt;&gt;"","REJECTED","ADD REASON"),IF(AND(B205&lt;&gt;"",C205&lt;&gt;"",D205&lt;&gt;"",E205&lt;&gt;"",F205&lt;&gt;"",G205&lt;&gt;"",H205&lt;&gt;"",J205&lt;&gt;"",K205&lt;&gt;"",L205&lt;&gt;"",M205&lt;&gt;"",N205&lt;&gt;"",O205&lt;&gt;"",P205&lt;&gt;"",Q205&lt;&gt;"",R205&lt;&gt;"",S205&lt;&gt;"",T205&lt;&gt;"",U205&lt;&gt;"",V205&lt;&gt;"",W205&lt;&gt;"",X205&lt;&gt;"",Y205&lt;&gt;"",AC205="UNIQUE"),"READY","CHECK")))</f>
        <v/>
      </c>
    </row>
    <row r="206">
      <c r="A206" s="25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37" t="n"/>
      <c r="K206" s="34" t="n"/>
      <c r="L206" s="26" t="n"/>
      <c r="M206" s="37" t="n"/>
      <c r="N206" s="37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34" t="n"/>
      <c r="Y206" s="26" t="n"/>
      <c r="Z206" s="26" t="n"/>
      <c r="AA206" s="26" t="n"/>
      <c r="AB206" s="27" t="n"/>
      <c r="AC206" s="32">
        <f>IF(A206="","",IF(COUNTIF($H$5:$H$1004,H206)&gt;1,"DUPLICATE","UNIQUE"))</f>
        <v/>
      </c>
      <c r="AD206" s="32">
        <f>IF(A206="","",IF(AA206="Rejected",IF(AB206&lt;&gt;"","REJECTED","ADD REASON"),IF(AND(B206&lt;&gt;"",C206&lt;&gt;"",D206&lt;&gt;"",E206&lt;&gt;"",F206&lt;&gt;"",G206&lt;&gt;"",H206&lt;&gt;"",J206&lt;&gt;"",K206&lt;&gt;"",L206&lt;&gt;"",M206&lt;&gt;"",N206&lt;&gt;"",O206&lt;&gt;"",P206&lt;&gt;"",Q206&lt;&gt;"",R206&lt;&gt;"",S206&lt;&gt;"",T206&lt;&gt;"",U206&lt;&gt;"",V206&lt;&gt;"",W206&lt;&gt;"",X206&lt;&gt;"",Y206&lt;&gt;"",AC206="UNIQUE"),"READY","CHECK")))</f>
        <v/>
      </c>
    </row>
    <row r="207">
      <c r="A207" s="25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37" t="n"/>
      <c r="K207" s="34" t="n"/>
      <c r="L207" s="26" t="n"/>
      <c r="M207" s="37" t="n"/>
      <c r="N207" s="37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34" t="n"/>
      <c r="Y207" s="26" t="n"/>
      <c r="Z207" s="26" t="n"/>
      <c r="AA207" s="26" t="n"/>
      <c r="AB207" s="27" t="n"/>
      <c r="AC207" s="32">
        <f>IF(A207="","",IF(COUNTIF($H$5:$H$1004,H207)&gt;1,"DUPLICATE","UNIQUE"))</f>
        <v/>
      </c>
      <c r="AD207" s="32">
        <f>IF(A207="","",IF(AA207="Rejected",IF(AB207&lt;&gt;"","REJECTED","ADD REASON"),IF(AND(B207&lt;&gt;"",C207&lt;&gt;"",D207&lt;&gt;"",E207&lt;&gt;"",F207&lt;&gt;"",G207&lt;&gt;"",H207&lt;&gt;"",J207&lt;&gt;"",K207&lt;&gt;"",L207&lt;&gt;"",M207&lt;&gt;"",N207&lt;&gt;"",O207&lt;&gt;"",P207&lt;&gt;"",Q207&lt;&gt;"",R207&lt;&gt;"",S207&lt;&gt;"",T207&lt;&gt;"",U207&lt;&gt;"",V207&lt;&gt;"",W207&lt;&gt;"",X207&lt;&gt;"",Y207&lt;&gt;"",AC207="UNIQUE"),"READY","CHECK")))</f>
        <v/>
      </c>
    </row>
    <row r="208">
      <c r="A208" s="25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37" t="n"/>
      <c r="K208" s="34" t="n"/>
      <c r="L208" s="26" t="n"/>
      <c r="M208" s="37" t="n"/>
      <c r="N208" s="37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34" t="n"/>
      <c r="Y208" s="26" t="n"/>
      <c r="Z208" s="26" t="n"/>
      <c r="AA208" s="26" t="n"/>
      <c r="AB208" s="27" t="n"/>
      <c r="AC208" s="32">
        <f>IF(A208="","",IF(COUNTIF($H$5:$H$1004,H208)&gt;1,"DUPLICATE","UNIQUE"))</f>
        <v/>
      </c>
      <c r="AD208" s="32">
        <f>IF(A208="","",IF(AA208="Rejected",IF(AB208&lt;&gt;"","REJECTED","ADD REASON"),IF(AND(B208&lt;&gt;"",C208&lt;&gt;"",D208&lt;&gt;"",E208&lt;&gt;"",F208&lt;&gt;"",G208&lt;&gt;"",H208&lt;&gt;"",J208&lt;&gt;"",K208&lt;&gt;"",L208&lt;&gt;"",M208&lt;&gt;"",N208&lt;&gt;"",O208&lt;&gt;"",P208&lt;&gt;"",Q208&lt;&gt;"",R208&lt;&gt;"",S208&lt;&gt;"",T208&lt;&gt;"",U208&lt;&gt;"",V208&lt;&gt;"",W208&lt;&gt;"",X208&lt;&gt;"",Y208&lt;&gt;"",AC208="UNIQUE"),"READY","CHECK")))</f>
        <v/>
      </c>
    </row>
    <row r="209">
      <c r="A209" s="25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37" t="n"/>
      <c r="K209" s="34" t="n"/>
      <c r="L209" s="26" t="n"/>
      <c r="M209" s="37" t="n"/>
      <c r="N209" s="37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34" t="n"/>
      <c r="Y209" s="26" t="n"/>
      <c r="Z209" s="26" t="n"/>
      <c r="AA209" s="26" t="n"/>
      <c r="AB209" s="27" t="n"/>
      <c r="AC209" s="32">
        <f>IF(A209="","",IF(COUNTIF($H$5:$H$1004,H209)&gt;1,"DUPLICATE","UNIQUE"))</f>
        <v/>
      </c>
      <c r="AD209" s="32">
        <f>IF(A209="","",IF(AA209="Rejected",IF(AB209&lt;&gt;"","REJECTED","ADD REASON"),IF(AND(B209&lt;&gt;"",C209&lt;&gt;"",D209&lt;&gt;"",E209&lt;&gt;"",F209&lt;&gt;"",G209&lt;&gt;"",H209&lt;&gt;"",J209&lt;&gt;"",K209&lt;&gt;"",L209&lt;&gt;"",M209&lt;&gt;"",N209&lt;&gt;"",O209&lt;&gt;"",P209&lt;&gt;"",Q209&lt;&gt;"",R209&lt;&gt;"",S209&lt;&gt;"",T209&lt;&gt;"",U209&lt;&gt;"",V209&lt;&gt;"",W209&lt;&gt;"",X209&lt;&gt;"",Y209&lt;&gt;"",AC209="UNIQUE"),"READY","CHECK")))</f>
        <v/>
      </c>
    </row>
    <row r="210">
      <c r="A210" s="25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37" t="n"/>
      <c r="K210" s="34" t="n"/>
      <c r="L210" s="26" t="n"/>
      <c r="M210" s="37" t="n"/>
      <c r="N210" s="37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34" t="n"/>
      <c r="Y210" s="26" t="n"/>
      <c r="Z210" s="26" t="n"/>
      <c r="AA210" s="26" t="n"/>
      <c r="AB210" s="27" t="n"/>
      <c r="AC210" s="32">
        <f>IF(A210="","",IF(COUNTIF($H$5:$H$1004,H210)&gt;1,"DUPLICATE","UNIQUE"))</f>
        <v/>
      </c>
      <c r="AD210" s="32">
        <f>IF(A210="","",IF(AA210="Rejected",IF(AB210&lt;&gt;"","REJECTED","ADD REASON"),IF(AND(B210&lt;&gt;"",C210&lt;&gt;"",D210&lt;&gt;"",E210&lt;&gt;"",F210&lt;&gt;"",G210&lt;&gt;"",H210&lt;&gt;"",J210&lt;&gt;"",K210&lt;&gt;"",L210&lt;&gt;"",M210&lt;&gt;"",N210&lt;&gt;"",O210&lt;&gt;"",P210&lt;&gt;"",Q210&lt;&gt;"",R210&lt;&gt;"",S210&lt;&gt;"",T210&lt;&gt;"",U210&lt;&gt;"",V210&lt;&gt;"",W210&lt;&gt;"",X210&lt;&gt;"",Y210&lt;&gt;"",AC210="UNIQUE"),"READY","CHECK")))</f>
        <v/>
      </c>
    </row>
    <row r="211">
      <c r="A211" s="25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37" t="n"/>
      <c r="K211" s="34" t="n"/>
      <c r="L211" s="26" t="n"/>
      <c r="M211" s="37" t="n"/>
      <c r="N211" s="37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34" t="n"/>
      <c r="Y211" s="26" t="n"/>
      <c r="Z211" s="26" t="n"/>
      <c r="AA211" s="26" t="n"/>
      <c r="AB211" s="27" t="n"/>
      <c r="AC211" s="32">
        <f>IF(A211="","",IF(COUNTIF($H$5:$H$1004,H211)&gt;1,"DUPLICATE","UNIQUE"))</f>
        <v/>
      </c>
      <c r="AD211" s="32">
        <f>IF(A211="","",IF(AA211="Rejected",IF(AB211&lt;&gt;"","REJECTED","ADD REASON"),IF(AND(B211&lt;&gt;"",C211&lt;&gt;"",D211&lt;&gt;"",E211&lt;&gt;"",F211&lt;&gt;"",G211&lt;&gt;"",H211&lt;&gt;"",J211&lt;&gt;"",K211&lt;&gt;"",L211&lt;&gt;"",M211&lt;&gt;"",N211&lt;&gt;"",O211&lt;&gt;"",P211&lt;&gt;"",Q211&lt;&gt;"",R211&lt;&gt;"",S211&lt;&gt;"",T211&lt;&gt;"",U211&lt;&gt;"",V211&lt;&gt;"",W211&lt;&gt;"",X211&lt;&gt;"",Y211&lt;&gt;"",AC211="UNIQUE"),"READY","CHECK")))</f>
        <v/>
      </c>
    </row>
    <row r="212">
      <c r="A212" s="25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37" t="n"/>
      <c r="K212" s="34" t="n"/>
      <c r="L212" s="26" t="n"/>
      <c r="M212" s="37" t="n"/>
      <c r="N212" s="37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34" t="n"/>
      <c r="Y212" s="26" t="n"/>
      <c r="Z212" s="26" t="n"/>
      <c r="AA212" s="26" t="n"/>
      <c r="AB212" s="27" t="n"/>
      <c r="AC212" s="32">
        <f>IF(A212="","",IF(COUNTIF($H$5:$H$1004,H212)&gt;1,"DUPLICATE","UNIQUE"))</f>
        <v/>
      </c>
      <c r="AD212" s="32">
        <f>IF(A212="","",IF(AA212="Rejected",IF(AB212&lt;&gt;"","REJECTED","ADD REASON"),IF(AND(B212&lt;&gt;"",C212&lt;&gt;"",D212&lt;&gt;"",E212&lt;&gt;"",F212&lt;&gt;"",G212&lt;&gt;"",H212&lt;&gt;"",J212&lt;&gt;"",K212&lt;&gt;"",L212&lt;&gt;"",M212&lt;&gt;"",N212&lt;&gt;"",O212&lt;&gt;"",P212&lt;&gt;"",Q212&lt;&gt;"",R212&lt;&gt;"",S212&lt;&gt;"",T212&lt;&gt;"",U212&lt;&gt;"",V212&lt;&gt;"",W212&lt;&gt;"",X212&lt;&gt;"",Y212&lt;&gt;"",AC212="UNIQUE"),"READY","CHECK")))</f>
        <v/>
      </c>
    </row>
    <row r="213">
      <c r="A213" s="25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37" t="n"/>
      <c r="K213" s="34" t="n"/>
      <c r="L213" s="26" t="n"/>
      <c r="M213" s="37" t="n"/>
      <c r="N213" s="37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34" t="n"/>
      <c r="Y213" s="26" t="n"/>
      <c r="Z213" s="26" t="n"/>
      <c r="AA213" s="26" t="n"/>
      <c r="AB213" s="27" t="n"/>
      <c r="AC213" s="32">
        <f>IF(A213="","",IF(COUNTIF($H$5:$H$1004,H213)&gt;1,"DUPLICATE","UNIQUE"))</f>
        <v/>
      </c>
      <c r="AD213" s="32">
        <f>IF(A213="","",IF(AA213="Rejected",IF(AB213&lt;&gt;"","REJECTED","ADD REASON"),IF(AND(B213&lt;&gt;"",C213&lt;&gt;"",D213&lt;&gt;"",E213&lt;&gt;"",F213&lt;&gt;"",G213&lt;&gt;"",H213&lt;&gt;"",J213&lt;&gt;"",K213&lt;&gt;"",L213&lt;&gt;"",M213&lt;&gt;"",N213&lt;&gt;"",O213&lt;&gt;"",P213&lt;&gt;"",Q213&lt;&gt;"",R213&lt;&gt;"",S213&lt;&gt;"",T213&lt;&gt;"",U213&lt;&gt;"",V213&lt;&gt;"",W213&lt;&gt;"",X213&lt;&gt;"",Y213&lt;&gt;"",AC213="UNIQUE"),"READY","CHECK")))</f>
        <v/>
      </c>
    </row>
    <row r="214">
      <c r="A214" s="25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37" t="n"/>
      <c r="K214" s="34" t="n"/>
      <c r="L214" s="26" t="n"/>
      <c r="M214" s="37" t="n"/>
      <c r="N214" s="37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34" t="n"/>
      <c r="Y214" s="26" t="n"/>
      <c r="Z214" s="26" t="n"/>
      <c r="AA214" s="26" t="n"/>
      <c r="AB214" s="27" t="n"/>
      <c r="AC214" s="32">
        <f>IF(A214="","",IF(COUNTIF($H$5:$H$1004,H214)&gt;1,"DUPLICATE","UNIQUE"))</f>
        <v/>
      </c>
      <c r="AD214" s="32">
        <f>IF(A214="","",IF(AA214="Rejected",IF(AB214&lt;&gt;"","REJECTED","ADD REASON"),IF(AND(B214&lt;&gt;"",C214&lt;&gt;"",D214&lt;&gt;"",E214&lt;&gt;"",F214&lt;&gt;"",G214&lt;&gt;"",H214&lt;&gt;"",J214&lt;&gt;"",K214&lt;&gt;"",L214&lt;&gt;"",M214&lt;&gt;"",N214&lt;&gt;"",O214&lt;&gt;"",P214&lt;&gt;"",Q214&lt;&gt;"",R214&lt;&gt;"",S214&lt;&gt;"",T214&lt;&gt;"",U214&lt;&gt;"",V214&lt;&gt;"",W214&lt;&gt;"",X214&lt;&gt;"",Y214&lt;&gt;"",AC214="UNIQUE"),"READY","CHECK")))</f>
        <v/>
      </c>
    </row>
    <row r="215">
      <c r="A215" s="25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37" t="n"/>
      <c r="K215" s="34" t="n"/>
      <c r="L215" s="26" t="n"/>
      <c r="M215" s="37" t="n"/>
      <c r="N215" s="37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34" t="n"/>
      <c r="Y215" s="26" t="n"/>
      <c r="Z215" s="26" t="n"/>
      <c r="AA215" s="26" t="n"/>
      <c r="AB215" s="27" t="n"/>
      <c r="AC215" s="32">
        <f>IF(A215="","",IF(COUNTIF($H$5:$H$1004,H215)&gt;1,"DUPLICATE","UNIQUE"))</f>
        <v/>
      </c>
      <c r="AD215" s="32">
        <f>IF(A215="","",IF(AA215="Rejected",IF(AB215&lt;&gt;"","REJECTED","ADD REASON"),IF(AND(B215&lt;&gt;"",C215&lt;&gt;"",D215&lt;&gt;"",E215&lt;&gt;"",F215&lt;&gt;"",G215&lt;&gt;"",H215&lt;&gt;"",J215&lt;&gt;"",K215&lt;&gt;"",L215&lt;&gt;"",M215&lt;&gt;"",N215&lt;&gt;"",O215&lt;&gt;"",P215&lt;&gt;"",Q215&lt;&gt;"",R215&lt;&gt;"",S215&lt;&gt;"",T215&lt;&gt;"",U215&lt;&gt;"",V215&lt;&gt;"",W215&lt;&gt;"",X215&lt;&gt;"",Y215&lt;&gt;"",AC215="UNIQUE"),"READY","CHECK")))</f>
        <v/>
      </c>
    </row>
    <row r="216">
      <c r="A216" s="25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37" t="n"/>
      <c r="K216" s="34" t="n"/>
      <c r="L216" s="26" t="n"/>
      <c r="M216" s="37" t="n"/>
      <c r="N216" s="37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34" t="n"/>
      <c r="Y216" s="26" t="n"/>
      <c r="Z216" s="26" t="n"/>
      <c r="AA216" s="26" t="n"/>
      <c r="AB216" s="27" t="n"/>
      <c r="AC216" s="32">
        <f>IF(A216="","",IF(COUNTIF($H$5:$H$1004,H216)&gt;1,"DUPLICATE","UNIQUE"))</f>
        <v/>
      </c>
      <c r="AD216" s="32">
        <f>IF(A216="","",IF(AA216="Rejected",IF(AB216&lt;&gt;"","REJECTED","ADD REASON"),IF(AND(B216&lt;&gt;"",C216&lt;&gt;"",D216&lt;&gt;"",E216&lt;&gt;"",F216&lt;&gt;"",G216&lt;&gt;"",H216&lt;&gt;"",J216&lt;&gt;"",K216&lt;&gt;"",L216&lt;&gt;"",M216&lt;&gt;"",N216&lt;&gt;"",O216&lt;&gt;"",P216&lt;&gt;"",Q216&lt;&gt;"",R216&lt;&gt;"",S216&lt;&gt;"",T216&lt;&gt;"",U216&lt;&gt;"",V216&lt;&gt;"",W216&lt;&gt;"",X216&lt;&gt;"",Y216&lt;&gt;"",AC216="UNIQUE"),"READY","CHECK")))</f>
        <v/>
      </c>
    </row>
    <row r="217">
      <c r="A217" s="25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37" t="n"/>
      <c r="K217" s="34" t="n"/>
      <c r="L217" s="26" t="n"/>
      <c r="M217" s="37" t="n"/>
      <c r="N217" s="37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34" t="n"/>
      <c r="Y217" s="26" t="n"/>
      <c r="Z217" s="26" t="n"/>
      <c r="AA217" s="26" t="n"/>
      <c r="AB217" s="27" t="n"/>
      <c r="AC217" s="32">
        <f>IF(A217="","",IF(COUNTIF($H$5:$H$1004,H217)&gt;1,"DUPLICATE","UNIQUE"))</f>
        <v/>
      </c>
      <c r="AD217" s="32">
        <f>IF(A217="","",IF(AA217="Rejected",IF(AB217&lt;&gt;"","REJECTED","ADD REASON"),IF(AND(B217&lt;&gt;"",C217&lt;&gt;"",D217&lt;&gt;"",E217&lt;&gt;"",F217&lt;&gt;"",G217&lt;&gt;"",H217&lt;&gt;"",J217&lt;&gt;"",K217&lt;&gt;"",L217&lt;&gt;"",M217&lt;&gt;"",N217&lt;&gt;"",O217&lt;&gt;"",P217&lt;&gt;"",Q217&lt;&gt;"",R217&lt;&gt;"",S217&lt;&gt;"",T217&lt;&gt;"",U217&lt;&gt;"",V217&lt;&gt;"",W217&lt;&gt;"",X217&lt;&gt;"",Y217&lt;&gt;"",AC217="UNIQUE"),"READY","CHECK")))</f>
        <v/>
      </c>
    </row>
    <row r="218">
      <c r="A218" s="25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37" t="n"/>
      <c r="K218" s="34" t="n"/>
      <c r="L218" s="26" t="n"/>
      <c r="M218" s="37" t="n"/>
      <c r="N218" s="37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34" t="n"/>
      <c r="Y218" s="26" t="n"/>
      <c r="Z218" s="26" t="n"/>
      <c r="AA218" s="26" t="n"/>
      <c r="AB218" s="27" t="n"/>
      <c r="AC218" s="32">
        <f>IF(A218="","",IF(COUNTIF($H$5:$H$1004,H218)&gt;1,"DUPLICATE","UNIQUE"))</f>
        <v/>
      </c>
      <c r="AD218" s="32">
        <f>IF(A218="","",IF(AA218="Rejected",IF(AB218&lt;&gt;"","REJECTED","ADD REASON"),IF(AND(B218&lt;&gt;"",C218&lt;&gt;"",D218&lt;&gt;"",E218&lt;&gt;"",F218&lt;&gt;"",G218&lt;&gt;"",H218&lt;&gt;"",J218&lt;&gt;"",K218&lt;&gt;"",L218&lt;&gt;"",M218&lt;&gt;"",N218&lt;&gt;"",O218&lt;&gt;"",P218&lt;&gt;"",Q218&lt;&gt;"",R218&lt;&gt;"",S218&lt;&gt;"",T218&lt;&gt;"",U218&lt;&gt;"",V218&lt;&gt;"",W218&lt;&gt;"",X218&lt;&gt;"",Y218&lt;&gt;"",AC218="UNIQUE"),"READY","CHECK")))</f>
        <v/>
      </c>
    </row>
    <row r="219">
      <c r="A219" s="25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37" t="n"/>
      <c r="K219" s="34" t="n"/>
      <c r="L219" s="26" t="n"/>
      <c r="M219" s="37" t="n"/>
      <c r="N219" s="37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34" t="n"/>
      <c r="Y219" s="26" t="n"/>
      <c r="Z219" s="26" t="n"/>
      <c r="AA219" s="26" t="n"/>
      <c r="AB219" s="27" t="n"/>
      <c r="AC219" s="32">
        <f>IF(A219="","",IF(COUNTIF($H$5:$H$1004,H219)&gt;1,"DUPLICATE","UNIQUE"))</f>
        <v/>
      </c>
      <c r="AD219" s="32">
        <f>IF(A219="","",IF(AA219="Rejected",IF(AB219&lt;&gt;"","REJECTED","ADD REASON"),IF(AND(B219&lt;&gt;"",C219&lt;&gt;"",D219&lt;&gt;"",E219&lt;&gt;"",F219&lt;&gt;"",G219&lt;&gt;"",H219&lt;&gt;"",J219&lt;&gt;"",K219&lt;&gt;"",L219&lt;&gt;"",M219&lt;&gt;"",N219&lt;&gt;"",O219&lt;&gt;"",P219&lt;&gt;"",Q219&lt;&gt;"",R219&lt;&gt;"",S219&lt;&gt;"",T219&lt;&gt;"",U219&lt;&gt;"",V219&lt;&gt;"",W219&lt;&gt;"",X219&lt;&gt;"",Y219&lt;&gt;"",AC219="UNIQUE"),"READY","CHECK")))</f>
        <v/>
      </c>
    </row>
    <row r="220">
      <c r="A220" s="25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37" t="n"/>
      <c r="K220" s="34" t="n"/>
      <c r="L220" s="26" t="n"/>
      <c r="M220" s="37" t="n"/>
      <c r="N220" s="37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34" t="n"/>
      <c r="Y220" s="26" t="n"/>
      <c r="Z220" s="26" t="n"/>
      <c r="AA220" s="26" t="n"/>
      <c r="AB220" s="27" t="n"/>
      <c r="AC220" s="32">
        <f>IF(A220="","",IF(COUNTIF($H$5:$H$1004,H220)&gt;1,"DUPLICATE","UNIQUE"))</f>
        <v/>
      </c>
      <c r="AD220" s="32">
        <f>IF(A220="","",IF(AA220="Rejected",IF(AB220&lt;&gt;"","REJECTED","ADD REASON"),IF(AND(B220&lt;&gt;"",C220&lt;&gt;"",D220&lt;&gt;"",E220&lt;&gt;"",F220&lt;&gt;"",G220&lt;&gt;"",H220&lt;&gt;"",J220&lt;&gt;"",K220&lt;&gt;"",L220&lt;&gt;"",M220&lt;&gt;"",N220&lt;&gt;"",O220&lt;&gt;"",P220&lt;&gt;"",Q220&lt;&gt;"",R220&lt;&gt;"",S220&lt;&gt;"",T220&lt;&gt;"",U220&lt;&gt;"",V220&lt;&gt;"",W220&lt;&gt;"",X220&lt;&gt;"",Y220&lt;&gt;"",AC220="UNIQUE"),"READY","CHECK")))</f>
        <v/>
      </c>
    </row>
    <row r="221">
      <c r="A221" s="25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37" t="n"/>
      <c r="K221" s="34" t="n"/>
      <c r="L221" s="26" t="n"/>
      <c r="M221" s="37" t="n"/>
      <c r="N221" s="37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34" t="n"/>
      <c r="Y221" s="26" t="n"/>
      <c r="Z221" s="26" t="n"/>
      <c r="AA221" s="26" t="n"/>
      <c r="AB221" s="27" t="n"/>
      <c r="AC221" s="32">
        <f>IF(A221="","",IF(COUNTIF($H$5:$H$1004,H221)&gt;1,"DUPLICATE","UNIQUE"))</f>
        <v/>
      </c>
      <c r="AD221" s="32">
        <f>IF(A221="","",IF(AA221="Rejected",IF(AB221&lt;&gt;"","REJECTED","ADD REASON"),IF(AND(B221&lt;&gt;"",C221&lt;&gt;"",D221&lt;&gt;"",E221&lt;&gt;"",F221&lt;&gt;"",G221&lt;&gt;"",H221&lt;&gt;"",J221&lt;&gt;"",K221&lt;&gt;"",L221&lt;&gt;"",M221&lt;&gt;"",N221&lt;&gt;"",O221&lt;&gt;"",P221&lt;&gt;"",Q221&lt;&gt;"",R221&lt;&gt;"",S221&lt;&gt;"",T221&lt;&gt;"",U221&lt;&gt;"",V221&lt;&gt;"",W221&lt;&gt;"",X221&lt;&gt;"",Y221&lt;&gt;"",AC221="UNIQUE"),"READY","CHECK")))</f>
        <v/>
      </c>
    </row>
    <row r="222">
      <c r="A222" s="25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37" t="n"/>
      <c r="K222" s="34" t="n"/>
      <c r="L222" s="26" t="n"/>
      <c r="M222" s="37" t="n"/>
      <c r="N222" s="37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34" t="n"/>
      <c r="Y222" s="26" t="n"/>
      <c r="Z222" s="26" t="n"/>
      <c r="AA222" s="26" t="n"/>
      <c r="AB222" s="27" t="n"/>
      <c r="AC222" s="32">
        <f>IF(A222="","",IF(COUNTIF($H$5:$H$1004,H222)&gt;1,"DUPLICATE","UNIQUE"))</f>
        <v/>
      </c>
      <c r="AD222" s="32">
        <f>IF(A222="","",IF(AA222="Rejected",IF(AB222&lt;&gt;"","REJECTED","ADD REASON"),IF(AND(B222&lt;&gt;"",C222&lt;&gt;"",D222&lt;&gt;"",E222&lt;&gt;"",F222&lt;&gt;"",G222&lt;&gt;"",H222&lt;&gt;"",J222&lt;&gt;"",K222&lt;&gt;"",L222&lt;&gt;"",M222&lt;&gt;"",N222&lt;&gt;"",O222&lt;&gt;"",P222&lt;&gt;"",Q222&lt;&gt;"",R222&lt;&gt;"",S222&lt;&gt;"",T222&lt;&gt;"",U222&lt;&gt;"",V222&lt;&gt;"",W222&lt;&gt;"",X222&lt;&gt;"",Y222&lt;&gt;"",AC222="UNIQUE"),"READY","CHECK")))</f>
        <v/>
      </c>
    </row>
    <row r="223">
      <c r="A223" s="25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37" t="n"/>
      <c r="K223" s="34" t="n"/>
      <c r="L223" s="26" t="n"/>
      <c r="M223" s="37" t="n"/>
      <c r="N223" s="37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34" t="n"/>
      <c r="Y223" s="26" t="n"/>
      <c r="Z223" s="26" t="n"/>
      <c r="AA223" s="26" t="n"/>
      <c r="AB223" s="27" t="n"/>
      <c r="AC223" s="32">
        <f>IF(A223="","",IF(COUNTIF($H$5:$H$1004,H223)&gt;1,"DUPLICATE","UNIQUE"))</f>
        <v/>
      </c>
      <c r="AD223" s="32">
        <f>IF(A223="","",IF(AA223="Rejected",IF(AB223&lt;&gt;"","REJECTED","ADD REASON"),IF(AND(B223&lt;&gt;"",C223&lt;&gt;"",D223&lt;&gt;"",E223&lt;&gt;"",F223&lt;&gt;"",G223&lt;&gt;"",H223&lt;&gt;"",J223&lt;&gt;"",K223&lt;&gt;"",L223&lt;&gt;"",M223&lt;&gt;"",N223&lt;&gt;"",O223&lt;&gt;"",P223&lt;&gt;"",Q223&lt;&gt;"",R223&lt;&gt;"",S223&lt;&gt;"",T223&lt;&gt;"",U223&lt;&gt;"",V223&lt;&gt;"",W223&lt;&gt;"",X223&lt;&gt;"",Y223&lt;&gt;"",AC223="UNIQUE"),"READY","CHECK")))</f>
        <v/>
      </c>
    </row>
    <row r="224">
      <c r="A224" s="25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37" t="n"/>
      <c r="K224" s="34" t="n"/>
      <c r="L224" s="26" t="n"/>
      <c r="M224" s="37" t="n"/>
      <c r="N224" s="37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34" t="n"/>
      <c r="Y224" s="26" t="n"/>
      <c r="Z224" s="26" t="n"/>
      <c r="AA224" s="26" t="n"/>
      <c r="AB224" s="27" t="n"/>
      <c r="AC224" s="32">
        <f>IF(A224="","",IF(COUNTIF($H$5:$H$1004,H224)&gt;1,"DUPLICATE","UNIQUE"))</f>
        <v/>
      </c>
      <c r="AD224" s="32">
        <f>IF(A224="","",IF(AA224="Rejected",IF(AB224&lt;&gt;"","REJECTED","ADD REASON"),IF(AND(B224&lt;&gt;"",C224&lt;&gt;"",D224&lt;&gt;"",E224&lt;&gt;"",F224&lt;&gt;"",G224&lt;&gt;"",H224&lt;&gt;"",J224&lt;&gt;"",K224&lt;&gt;"",L224&lt;&gt;"",M224&lt;&gt;"",N224&lt;&gt;"",O224&lt;&gt;"",P224&lt;&gt;"",Q224&lt;&gt;"",R224&lt;&gt;"",S224&lt;&gt;"",T224&lt;&gt;"",U224&lt;&gt;"",V224&lt;&gt;"",W224&lt;&gt;"",X224&lt;&gt;"",Y224&lt;&gt;"",AC224="UNIQUE"),"READY","CHECK")))</f>
        <v/>
      </c>
    </row>
    <row r="225">
      <c r="A225" s="25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37" t="n"/>
      <c r="K225" s="34" t="n"/>
      <c r="L225" s="26" t="n"/>
      <c r="M225" s="37" t="n"/>
      <c r="N225" s="37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34" t="n"/>
      <c r="Y225" s="26" t="n"/>
      <c r="Z225" s="26" t="n"/>
      <c r="AA225" s="26" t="n"/>
      <c r="AB225" s="27" t="n"/>
      <c r="AC225" s="32">
        <f>IF(A225="","",IF(COUNTIF($H$5:$H$1004,H225)&gt;1,"DUPLICATE","UNIQUE"))</f>
        <v/>
      </c>
      <c r="AD225" s="32">
        <f>IF(A225="","",IF(AA225="Rejected",IF(AB225&lt;&gt;"","REJECTED","ADD REASON"),IF(AND(B225&lt;&gt;"",C225&lt;&gt;"",D225&lt;&gt;"",E225&lt;&gt;"",F225&lt;&gt;"",G225&lt;&gt;"",H225&lt;&gt;"",J225&lt;&gt;"",K225&lt;&gt;"",L225&lt;&gt;"",M225&lt;&gt;"",N225&lt;&gt;"",O225&lt;&gt;"",P225&lt;&gt;"",Q225&lt;&gt;"",R225&lt;&gt;"",S225&lt;&gt;"",T225&lt;&gt;"",U225&lt;&gt;"",V225&lt;&gt;"",W225&lt;&gt;"",X225&lt;&gt;"",Y225&lt;&gt;"",AC225="UNIQUE"),"READY","CHECK")))</f>
        <v/>
      </c>
    </row>
    <row r="226">
      <c r="A226" s="25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37" t="n"/>
      <c r="K226" s="34" t="n"/>
      <c r="L226" s="26" t="n"/>
      <c r="M226" s="37" t="n"/>
      <c r="N226" s="37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34" t="n"/>
      <c r="Y226" s="26" t="n"/>
      <c r="Z226" s="26" t="n"/>
      <c r="AA226" s="26" t="n"/>
      <c r="AB226" s="27" t="n"/>
      <c r="AC226" s="32">
        <f>IF(A226="","",IF(COUNTIF($H$5:$H$1004,H226)&gt;1,"DUPLICATE","UNIQUE"))</f>
        <v/>
      </c>
      <c r="AD226" s="32">
        <f>IF(A226="","",IF(AA226="Rejected",IF(AB226&lt;&gt;"","REJECTED","ADD REASON"),IF(AND(B226&lt;&gt;"",C226&lt;&gt;"",D226&lt;&gt;"",E226&lt;&gt;"",F226&lt;&gt;"",G226&lt;&gt;"",H226&lt;&gt;"",J226&lt;&gt;"",K226&lt;&gt;"",L226&lt;&gt;"",M226&lt;&gt;"",N226&lt;&gt;"",O226&lt;&gt;"",P226&lt;&gt;"",Q226&lt;&gt;"",R226&lt;&gt;"",S226&lt;&gt;"",T226&lt;&gt;"",U226&lt;&gt;"",V226&lt;&gt;"",W226&lt;&gt;"",X226&lt;&gt;"",Y226&lt;&gt;"",AC226="UNIQUE"),"READY","CHECK")))</f>
        <v/>
      </c>
    </row>
    <row r="227">
      <c r="A227" s="25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37" t="n"/>
      <c r="K227" s="34" t="n"/>
      <c r="L227" s="26" t="n"/>
      <c r="M227" s="37" t="n"/>
      <c r="N227" s="37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34" t="n"/>
      <c r="Y227" s="26" t="n"/>
      <c r="Z227" s="26" t="n"/>
      <c r="AA227" s="26" t="n"/>
      <c r="AB227" s="27" t="n"/>
      <c r="AC227" s="32">
        <f>IF(A227="","",IF(COUNTIF($H$5:$H$1004,H227)&gt;1,"DUPLICATE","UNIQUE"))</f>
        <v/>
      </c>
      <c r="AD227" s="32">
        <f>IF(A227="","",IF(AA227="Rejected",IF(AB227&lt;&gt;"","REJECTED","ADD REASON"),IF(AND(B227&lt;&gt;"",C227&lt;&gt;"",D227&lt;&gt;"",E227&lt;&gt;"",F227&lt;&gt;"",G227&lt;&gt;"",H227&lt;&gt;"",J227&lt;&gt;"",K227&lt;&gt;"",L227&lt;&gt;"",M227&lt;&gt;"",N227&lt;&gt;"",O227&lt;&gt;"",P227&lt;&gt;"",Q227&lt;&gt;"",R227&lt;&gt;"",S227&lt;&gt;"",T227&lt;&gt;"",U227&lt;&gt;"",V227&lt;&gt;"",W227&lt;&gt;"",X227&lt;&gt;"",Y227&lt;&gt;"",AC227="UNIQUE"),"READY","CHECK")))</f>
        <v/>
      </c>
    </row>
    <row r="228">
      <c r="A228" s="25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37" t="n"/>
      <c r="K228" s="34" t="n"/>
      <c r="L228" s="26" t="n"/>
      <c r="M228" s="37" t="n"/>
      <c r="N228" s="37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34" t="n"/>
      <c r="Y228" s="26" t="n"/>
      <c r="Z228" s="26" t="n"/>
      <c r="AA228" s="26" t="n"/>
      <c r="AB228" s="27" t="n"/>
      <c r="AC228" s="32">
        <f>IF(A228="","",IF(COUNTIF($H$5:$H$1004,H228)&gt;1,"DUPLICATE","UNIQUE"))</f>
        <v/>
      </c>
      <c r="AD228" s="32">
        <f>IF(A228="","",IF(AA228="Rejected",IF(AB228&lt;&gt;"","REJECTED","ADD REASON"),IF(AND(B228&lt;&gt;"",C228&lt;&gt;"",D228&lt;&gt;"",E228&lt;&gt;"",F228&lt;&gt;"",G228&lt;&gt;"",H228&lt;&gt;"",J228&lt;&gt;"",K228&lt;&gt;"",L228&lt;&gt;"",M228&lt;&gt;"",N228&lt;&gt;"",O228&lt;&gt;"",P228&lt;&gt;"",Q228&lt;&gt;"",R228&lt;&gt;"",S228&lt;&gt;"",T228&lt;&gt;"",U228&lt;&gt;"",V228&lt;&gt;"",W228&lt;&gt;"",X228&lt;&gt;"",Y228&lt;&gt;"",AC228="UNIQUE"),"READY","CHECK")))</f>
        <v/>
      </c>
    </row>
    <row r="229">
      <c r="A229" s="25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37" t="n"/>
      <c r="K229" s="34" t="n"/>
      <c r="L229" s="26" t="n"/>
      <c r="M229" s="37" t="n"/>
      <c r="N229" s="37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34" t="n"/>
      <c r="Y229" s="26" t="n"/>
      <c r="Z229" s="26" t="n"/>
      <c r="AA229" s="26" t="n"/>
      <c r="AB229" s="27" t="n"/>
      <c r="AC229" s="32">
        <f>IF(A229="","",IF(COUNTIF($H$5:$H$1004,H229)&gt;1,"DUPLICATE","UNIQUE"))</f>
        <v/>
      </c>
      <c r="AD229" s="32">
        <f>IF(A229="","",IF(AA229="Rejected",IF(AB229&lt;&gt;"","REJECTED","ADD REASON"),IF(AND(B229&lt;&gt;"",C229&lt;&gt;"",D229&lt;&gt;"",E229&lt;&gt;"",F229&lt;&gt;"",G229&lt;&gt;"",H229&lt;&gt;"",J229&lt;&gt;"",K229&lt;&gt;"",L229&lt;&gt;"",M229&lt;&gt;"",N229&lt;&gt;"",O229&lt;&gt;"",P229&lt;&gt;"",Q229&lt;&gt;"",R229&lt;&gt;"",S229&lt;&gt;"",T229&lt;&gt;"",U229&lt;&gt;"",V229&lt;&gt;"",W229&lt;&gt;"",X229&lt;&gt;"",Y229&lt;&gt;"",AC229="UNIQUE"),"READY","CHECK")))</f>
        <v/>
      </c>
    </row>
    <row r="230">
      <c r="A230" s="25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37" t="n"/>
      <c r="K230" s="34" t="n"/>
      <c r="L230" s="26" t="n"/>
      <c r="M230" s="37" t="n"/>
      <c r="N230" s="37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34" t="n"/>
      <c r="Y230" s="26" t="n"/>
      <c r="Z230" s="26" t="n"/>
      <c r="AA230" s="26" t="n"/>
      <c r="AB230" s="27" t="n"/>
      <c r="AC230" s="32">
        <f>IF(A230="","",IF(COUNTIF($H$5:$H$1004,H230)&gt;1,"DUPLICATE","UNIQUE"))</f>
        <v/>
      </c>
      <c r="AD230" s="32">
        <f>IF(A230="","",IF(AA230="Rejected",IF(AB230&lt;&gt;"","REJECTED","ADD REASON"),IF(AND(B230&lt;&gt;"",C230&lt;&gt;"",D230&lt;&gt;"",E230&lt;&gt;"",F230&lt;&gt;"",G230&lt;&gt;"",H230&lt;&gt;"",J230&lt;&gt;"",K230&lt;&gt;"",L230&lt;&gt;"",M230&lt;&gt;"",N230&lt;&gt;"",O230&lt;&gt;"",P230&lt;&gt;"",Q230&lt;&gt;"",R230&lt;&gt;"",S230&lt;&gt;"",T230&lt;&gt;"",U230&lt;&gt;"",V230&lt;&gt;"",W230&lt;&gt;"",X230&lt;&gt;"",Y230&lt;&gt;"",AC230="UNIQUE"),"READY","CHECK")))</f>
        <v/>
      </c>
    </row>
    <row r="231">
      <c r="A231" s="25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37" t="n"/>
      <c r="K231" s="34" t="n"/>
      <c r="L231" s="26" t="n"/>
      <c r="M231" s="37" t="n"/>
      <c r="N231" s="37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34" t="n"/>
      <c r="Y231" s="26" t="n"/>
      <c r="Z231" s="26" t="n"/>
      <c r="AA231" s="26" t="n"/>
      <c r="AB231" s="27" t="n"/>
      <c r="AC231" s="32">
        <f>IF(A231="","",IF(COUNTIF($H$5:$H$1004,H231)&gt;1,"DUPLICATE","UNIQUE"))</f>
        <v/>
      </c>
      <c r="AD231" s="32">
        <f>IF(A231="","",IF(AA231="Rejected",IF(AB231&lt;&gt;"","REJECTED","ADD REASON"),IF(AND(B231&lt;&gt;"",C231&lt;&gt;"",D231&lt;&gt;"",E231&lt;&gt;"",F231&lt;&gt;"",G231&lt;&gt;"",H231&lt;&gt;"",J231&lt;&gt;"",K231&lt;&gt;"",L231&lt;&gt;"",M231&lt;&gt;"",N231&lt;&gt;"",O231&lt;&gt;"",P231&lt;&gt;"",Q231&lt;&gt;"",R231&lt;&gt;"",S231&lt;&gt;"",T231&lt;&gt;"",U231&lt;&gt;"",V231&lt;&gt;"",W231&lt;&gt;"",X231&lt;&gt;"",Y231&lt;&gt;"",AC231="UNIQUE"),"READY","CHECK")))</f>
        <v/>
      </c>
    </row>
    <row r="232">
      <c r="A232" s="25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37" t="n"/>
      <c r="K232" s="34" t="n"/>
      <c r="L232" s="26" t="n"/>
      <c r="M232" s="37" t="n"/>
      <c r="N232" s="37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34" t="n"/>
      <c r="Y232" s="26" t="n"/>
      <c r="Z232" s="26" t="n"/>
      <c r="AA232" s="26" t="n"/>
      <c r="AB232" s="27" t="n"/>
      <c r="AC232" s="32">
        <f>IF(A232="","",IF(COUNTIF($H$5:$H$1004,H232)&gt;1,"DUPLICATE","UNIQUE"))</f>
        <v/>
      </c>
      <c r="AD232" s="32">
        <f>IF(A232="","",IF(AA232="Rejected",IF(AB232&lt;&gt;"","REJECTED","ADD REASON"),IF(AND(B232&lt;&gt;"",C232&lt;&gt;"",D232&lt;&gt;"",E232&lt;&gt;"",F232&lt;&gt;"",G232&lt;&gt;"",H232&lt;&gt;"",J232&lt;&gt;"",K232&lt;&gt;"",L232&lt;&gt;"",M232&lt;&gt;"",N232&lt;&gt;"",O232&lt;&gt;"",P232&lt;&gt;"",Q232&lt;&gt;"",R232&lt;&gt;"",S232&lt;&gt;"",T232&lt;&gt;"",U232&lt;&gt;"",V232&lt;&gt;"",W232&lt;&gt;"",X232&lt;&gt;"",Y232&lt;&gt;"",AC232="UNIQUE"),"READY","CHECK")))</f>
        <v/>
      </c>
    </row>
    <row r="233">
      <c r="A233" s="25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37" t="n"/>
      <c r="K233" s="34" t="n"/>
      <c r="L233" s="26" t="n"/>
      <c r="M233" s="37" t="n"/>
      <c r="N233" s="37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34" t="n"/>
      <c r="Y233" s="26" t="n"/>
      <c r="Z233" s="26" t="n"/>
      <c r="AA233" s="26" t="n"/>
      <c r="AB233" s="27" t="n"/>
      <c r="AC233" s="32">
        <f>IF(A233="","",IF(COUNTIF($H$5:$H$1004,H233)&gt;1,"DUPLICATE","UNIQUE"))</f>
        <v/>
      </c>
      <c r="AD233" s="32">
        <f>IF(A233="","",IF(AA233="Rejected",IF(AB233&lt;&gt;"","REJECTED","ADD REASON"),IF(AND(B233&lt;&gt;"",C233&lt;&gt;"",D233&lt;&gt;"",E233&lt;&gt;"",F233&lt;&gt;"",G233&lt;&gt;"",H233&lt;&gt;"",J233&lt;&gt;"",K233&lt;&gt;"",L233&lt;&gt;"",M233&lt;&gt;"",N233&lt;&gt;"",O233&lt;&gt;"",P233&lt;&gt;"",Q233&lt;&gt;"",R233&lt;&gt;"",S233&lt;&gt;"",T233&lt;&gt;"",U233&lt;&gt;"",V233&lt;&gt;"",W233&lt;&gt;"",X233&lt;&gt;"",Y233&lt;&gt;"",AC233="UNIQUE"),"READY","CHECK")))</f>
        <v/>
      </c>
    </row>
    <row r="234">
      <c r="A234" s="25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37" t="n"/>
      <c r="K234" s="34" t="n"/>
      <c r="L234" s="26" t="n"/>
      <c r="M234" s="37" t="n"/>
      <c r="N234" s="37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34" t="n"/>
      <c r="Y234" s="26" t="n"/>
      <c r="Z234" s="26" t="n"/>
      <c r="AA234" s="26" t="n"/>
      <c r="AB234" s="27" t="n"/>
      <c r="AC234" s="32">
        <f>IF(A234="","",IF(COUNTIF($H$5:$H$1004,H234)&gt;1,"DUPLICATE","UNIQUE"))</f>
        <v/>
      </c>
      <c r="AD234" s="32">
        <f>IF(A234="","",IF(AA234="Rejected",IF(AB234&lt;&gt;"","REJECTED","ADD REASON"),IF(AND(B234&lt;&gt;"",C234&lt;&gt;"",D234&lt;&gt;"",E234&lt;&gt;"",F234&lt;&gt;"",G234&lt;&gt;"",H234&lt;&gt;"",J234&lt;&gt;"",K234&lt;&gt;"",L234&lt;&gt;"",M234&lt;&gt;"",N234&lt;&gt;"",O234&lt;&gt;"",P234&lt;&gt;"",Q234&lt;&gt;"",R234&lt;&gt;"",S234&lt;&gt;"",T234&lt;&gt;"",U234&lt;&gt;"",V234&lt;&gt;"",W234&lt;&gt;"",X234&lt;&gt;"",Y234&lt;&gt;"",AC234="UNIQUE"),"READY","CHECK")))</f>
        <v/>
      </c>
    </row>
    <row r="235">
      <c r="A235" s="25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37" t="n"/>
      <c r="K235" s="34" t="n"/>
      <c r="L235" s="26" t="n"/>
      <c r="M235" s="37" t="n"/>
      <c r="N235" s="37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34" t="n"/>
      <c r="Y235" s="26" t="n"/>
      <c r="Z235" s="26" t="n"/>
      <c r="AA235" s="26" t="n"/>
      <c r="AB235" s="27" t="n"/>
      <c r="AC235" s="32">
        <f>IF(A235="","",IF(COUNTIF($H$5:$H$1004,H235)&gt;1,"DUPLICATE","UNIQUE"))</f>
        <v/>
      </c>
      <c r="AD235" s="32">
        <f>IF(A235="","",IF(AA235="Rejected",IF(AB235&lt;&gt;"","REJECTED","ADD REASON"),IF(AND(B235&lt;&gt;"",C235&lt;&gt;"",D235&lt;&gt;"",E235&lt;&gt;"",F235&lt;&gt;"",G235&lt;&gt;"",H235&lt;&gt;"",J235&lt;&gt;"",K235&lt;&gt;"",L235&lt;&gt;"",M235&lt;&gt;"",N235&lt;&gt;"",O235&lt;&gt;"",P235&lt;&gt;"",Q235&lt;&gt;"",R235&lt;&gt;"",S235&lt;&gt;"",T235&lt;&gt;"",U235&lt;&gt;"",V235&lt;&gt;"",W235&lt;&gt;"",X235&lt;&gt;"",Y235&lt;&gt;"",AC235="UNIQUE"),"READY","CHECK")))</f>
        <v/>
      </c>
    </row>
    <row r="236">
      <c r="A236" s="25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37" t="n"/>
      <c r="K236" s="34" t="n"/>
      <c r="L236" s="26" t="n"/>
      <c r="M236" s="37" t="n"/>
      <c r="N236" s="37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34" t="n"/>
      <c r="Y236" s="26" t="n"/>
      <c r="Z236" s="26" t="n"/>
      <c r="AA236" s="26" t="n"/>
      <c r="AB236" s="27" t="n"/>
      <c r="AC236" s="32">
        <f>IF(A236="","",IF(COUNTIF($H$5:$H$1004,H236)&gt;1,"DUPLICATE","UNIQUE"))</f>
        <v/>
      </c>
      <c r="AD236" s="32">
        <f>IF(A236="","",IF(AA236="Rejected",IF(AB236&lt;&gt;"","REJECTED","ADD REASON"),IF(AND(B236&lt;&gt;"",C236&lt;&gt;"",D236&lt;&gt;"",E236&lt;&gt;"",F236&lt;&gt;"",G236&lt;&gt;"",H236&lt;&gt;"",J236&lt;&gt;"",K236&lt;&gt;"",L236&lt;&gt;"",M236&lt;&gt;"",N236&lt;&gt;"",O236&lt;&gt;"",P236&lt;&gt;"",Q236&lt;&gt;"",R236&lt;&gt;"",S236&lt;&gt;"",T236&lt;&gt;"",U236&lt;&gt;"",V236&lt;&gt;"",W236&lt;&gt;"",X236&lt;&gt;"",Y236&lt;&gt;"",AC236="UNIQUE"),"READY","CHECK")))</f>
        <v/>
      </c>
    </row>
    <row r="237">
      <c r="A237" s="25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37" t="n"/>
      <c r="K237" s="34" t="n"/>
      <c r="L237" s="26" t="n"/>
      <c r="M237" s="37" t="n"/>
      <c r="N237" s="37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34" t="n"/>
      <c r="Y237" s="26" t="n"/>
      <c r="Z237" s="26" t="n"/>
      <c r="AA237" s="26" t="n"/>
      <c r="AB237" s="27" t="n"/>
      <c r="AC237" s="32">
        <f>IF(A237="","",IF(COUNTIF($H$5:$H$1004,H237)&gt;1,"DUPLICATE","UNIQUE"))</f>
        <v/>
      </c>
      <c r="AD237" s="32">
        <f>IF(A237="","",IF(AA237="Rejected",IF(AB237&lt;&gt;"","REJECTED","ADD REASON"),IF(AND(B237&lt;&gt;"",C237&lt;&gt;"",D237&lt;&gt;"",E237&lt;&gt;"",F237&lt;&gt;"",G237&lt;&gt;"",H237&lt;&gt;"",J237&lt;&gt;"",K237&lt;&gt;"",L237&lt;&gt;"",M237&lt;&gt;"",N237&lt;&gt;"",O237&lt;&gt;"",P237&lt;&gt;"",Q237&lt;&gt;"",R237&lt;&gt;"",S237&lt;&gt;"",T237&lt;&gt;"",U237&lt;&gt;"",V237&lt;&gt;"",W237&lt;&gt;"",X237&lt;&gt;"",Y237&lt;&gt;"",AC237="UNIQUE"),"READY","CHECK")))</f>
        <v/>
      </c>
    </row>
    <row r="238">
      <c r="A238" s="25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37" t="n"/>
      <c r="K238" s="34" t="n"/>
      <c r="L238" s="26" t="n"/>
      <c r="M238" s="37" t="n"/>
      <c r="N238" s="37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34" t="n"/>
      <c r="Y238" s="26" t="n"/>
      <c r="Z238" s="26" t="n"/>
      <c r="AA238" s="26" t="n"/>
      <c r="AB238" s="27" t="n"/>
      <c r="AC238" s="32">
        <f>IF(A238="","",IF(COUNTIF($H$5:$H$1004,H238)&gt;1,"DUPLICATE","UNIQUE"))</f>
        <v/>
      </c>
      <c r="AD238" s="32">
        <f>IF(A238="","",IF(AA238="Rejected",IF(AB238&lt;&gt;"","REJECTED","ADD REASON"),IF(AND(B238&lt;&gt;"",C238&lt;&gt;"",D238&lt;&gt;"",E238&lt;&gt;"",F238&lt;&gt;"",G238&lt;&gt;"",H238&lt;&gt;"",J238&lt;&gt;"",K238&lt;&gt;"",L238&lt;&gt;"",M238&lt;&gt;"",N238&lt;&gt;"",O238&lt;&gt;"",P238&lt;&gt;"",Q238&lt;&gt;"",R238&lt;&gt;"",S238&lt;&gt;"",T238&lt;&gt;"",U238&lt;&gt;"",V238&lt;&gt;"",W238&lt;&gt;"",X238&lt;&gt;"",Y238&lt;&gt;"",AC238="UNIQUE"),"READY","CHECK")))</f>
        <v/>
      </c>
    </row>
    <row r="239">
      <c r="A239" s="25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37" t="n"/>
      <c r="K239" s="34" t="n"/>
      <c r="L239" s="26" t="n"/>
      <c r="M239" s="37" t="n"/>
      <c r="N239" s="37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34" t="n"/>
      <c r="Y239" s="26" t="n"/>
      <c r="Z239" s="26" t="n"/>
      <c r="AA239" s="26" t="n"/>
      <c r="AB239" s="27" t="n"/>
      <c r="AC239" s="32">
        <f>IF(A239="","",IF(COUNTIF($H$5:$H$1004,H239)&gt;1,"DUPLICATE","UNIQUE"))</f>
        <v/>
      </c>
      <c r="AD239" s="32">
        <f>IF(A239="","",IF(AA239="Rejected",IF(AB239&lt;&gt;"","REJECTED","ADD REASON"),IF(AND(B239&lt;&gt;"",C239&lt;&gt;"",D239&lt;&gt;"",E239&lt;&gt;"",F239&lt;&gt;"",G239&lt;&gt;"",H239&lt;&gt;"",J239&lt;&gt;"",K239&lt;&gt;"",L239&lt;&gt;"",M239&lt;&gt;"",N239&lt;&gt;"",O239&lt;&gt;"",P239&lt;&gt;"",Q239&lt;&gt;"",R239&lt;&gt;"",S239&lt;&gt;"",T239&lt;&gt;"",U239&lt;&gt;"",V239&lt;&gt;"",W239&lt;&gt;"",X239&lt;&gt;"",Y239&lt;&gt;"",AC239="UNIQUE"),"READY","CHECK")))</f>
        <v/>
      </c>
    </row>
    <row r="240">
      <c r="A240" s="25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37" t="n"/>
      <c r="K240" s="34" t="n"/>
      <c r="L240" s="26" t="n"/>
      <c r="M240" s="37" t="n"/>
      <c r="N240" s="37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34" t="n"/>
      <c r="Y240" s="26" t="n"/>
      <c r="Z240" s="26" t="n"/>
      <c r="AA240" s="26" t="n"/>
      <c r="AB240" s="27" t="n"/>
      <c r="AC240" s="32">
        <f>IF(A240="","",IF(COUNTIF($H$5:$H$1004,H240)&gt;1,"DUPLICATE","UNIQUE"))</f>
        <v/>
      </c>
      <c r="AD240" s="32">
        <f>IF(A240="","",IF(AA240="Rejected",IF(AB240&lt;&gt;"","REJECTED","ADD REASON"),IF(AND(B240&lt;&gt;"",C240&lt;&gt;"",D240&lt;&gt;"",E240&lt;&gt;"",F240&lt;&gt;"",G240&lt;&gt;"",H240&lt;&gt;"",J240&lt;&gt;"",K240&lt;&gt;"",L240&lt;&gt;"",M240&lt;&gt;"",N240&lt;&gt;"",O240&lt;&gt;"",P240&lt;&gt;"",Q240&lt;&gt;"",R240&lt;&gt;"",S240&lt;&gt;"",T240&lt;&gt;"",U240&lt;&gt;"",V240&lt;&gt;"",W240&lt;&gt;"",X240&lt;&gt;"",Y240&lt;&gt;"",AC240="UNIQUE"),"READY","CHECK")))</f>
        <v/>
      </c>
    </row>
    <row r="241">
      <c r="A241" s="25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37" t="n"/>
      <c r="K241" s="34" t="n"/>
      <c r="L241" s="26" t="n"/>
      <c r="M241" s="37" t="n"/>
      <c r="N241" s="37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34" t="n"/>
      <c r="Y241" s="26" t="n"/>
      <c r="Z241" s="26" t="n"/>
      <c r="AA241" s="26" t="n"/>
      <c r="AB241" s="27" t="n"/>
      <c r="AC241" s="32">
        <f>IF(A241="","",IF(COUNTIF($H$5:$H$1004,H241)&gt;1,"DUPLICATE","UNIQUE"))</f>
        <v/>
      </c>
      <c r="AD241" s="32">
        <f>IF(A241="","",IF(AA241="Rejected",IF(AB241&lt;&gt;"","REJECTED","ADD REASON"),IF(AND(B241&lt;&gt;"",C241&lt;&gt;"",D241&lt;&gt;"",E241&lt;&gt;"",F241&lt;&gt;"",G241&lt;&gt;"",H241&lt;&gt;"",J241&lt;&gt;"",K241&lt;&gt;"",L241&lt;&gt;"",M241&lt;&gt;"",N241&lt;&gt;"",O241&lt;&gt;"",P241&lt;&gt;"",Q241&lt;&gt;"",R241&lt;&gt;"",S241&lt;&gt;"",T241&lt;&gt;"",U241&lt;&gt;"",V241&lt;&gt;"",W241&lt;&gt;"",X241&lt;&gt;"",Y241&lt;&gt;"",AC241="UNIQUE"),"READY","CHECK")))</f>
        <v/>
      </c>
    </row>
    <row r="242">
      <c r="A242" s="25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37" t="n"/>
      <c r="K242" s="34" t="n"/>
      <c r="L242" s="26" t="n"/>
      <c r="M242" s="37" t="n"/>
      <c r="N242" s="37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34" t="n"/>
      <c r="Y242" s="26" t="n"/>
      <c r="Z242" s="26" t="n"/>
      <c r="AA242" s="26" t="n"/>
      <c r="AB242" s="27" t="n"/>
      <c r="AC242" s="32">
        <f>IF(A242="","",IF(COUNTIF($H$5:$H$1004,H242)&gt;1,"DUPLICATE","UNIQUE"))</f>
        <v/>
      </c>
      <c r="AD242" s="32">
        <f>IF(A242="","",IF(AA242="Rejected",IF(AB242&lt;&gt;"","REJECTED","ADD REASON"),IF(AND(B242&lt;&gt;"",C242&lt;&gt;"",D242&lt;&gt;"",E242&lt;&gt;"",F242&lt;&gt;"",G242&lt;&gt;"",H242&lt;&gt;"",J242&lt;&gt;"",K242&lt;&gt;"",L242&lt;&gt;"",M242&lt;&gt;"",N242&lt;&gt;"",O242&lt;&gt;"",P242&lt;&gt;"",Q242&lt;&gt;"",R242&lt;&gt;"",S242&lt;&gt;"",T242&lt;&gt;"",U242&lt;&gt;"",V242&lt;&gt;"",W242&lt;&gt;"",X242&lt;&gt;"",Y242&lt;&gt;"",AC242="UNIQUE"),"READY","CHECK")))</f>
        <v/>
      </c>
    </row>
    <row r="243">
      <c r="A243" s="25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37" t="n"/>
      <c r="K243" s="34" t="n"/>
      <c r="L243" s="26" t="n"/>
      <c r="M243" s="37" t="n"/>
      <c r="N243" s="37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34" t="n"/>
      <c r="Y243" s="26" t="n"/>
      <c r="Z243" s="26" t="n"/>
      <c r="AA243" s="26" t="n"/>
      <c r="AB243" s="27" t="n"/>
      <c r="AC243" s="32">
        <f>IF(A243="","",IF(COUNTIF($H$5:$H$1004,H243)&gt;1,"DUPLICATE","UNIQUE"))</f>
        <v/>
      </c>
      <c r="AD243" s="32">
        <f>IF(A243="","",IF(AA243="Rejected",IF(AB243&lt;&gt;"","REJECTED","ADD REASON"),IF(AND(B243&lt;&gt;"",C243&lt;&gt;"",D243&lt;&gt;"",E243&lt;&gt;"",F243&lt;&gt;"",G243&lt;&gt;"",H243&lt;&gt;"",J243&lt;&gt;"",K243&lt;&gt;"",L243&lt;&gt;"",M243&lt;&gt;"",N243&lt;&gt;"",O243&lt;&gt;"",P243&lt;&gt;"",Q243&lt;&gt;"",R243&lt;&gt;"",S243&lt;&gt;"",T243&lt;&gt;"",U243&lt;&gt;"",V243&lt;&gt;"",W243&lt;&gt;"",X243&lt;&gt;"",Y243&lt;&gt;"",AC243="UNIQUE"),"READY","CHECK")))</f>
        <v/>
      </c>
    </row>
    <row r="244">
      <c r="A244" s="25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37" t="n"/>
      <c r="K244" s="34" t="n"/>
      <c r="L244" s="26" t="n"/>
      <c r="M244" s="37" t="n"/>
      <c r="N244" s="37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34" t="n"/>
      <c r="Y244" s="26" t="n"/>
      <c r="Z244" s="26" t="n"/>
      <c r="AA244" s="26" t="n"/>
      <c r="AB244" s="27" t="n"/>
      <c r="AC244" s="32">
        <f>IF(A244="","",IF(COUNTIF($H$5:$H$1004,H244)&gt;1,"DUPLICATE","UNIQUE"))</f>
        <v/>
      </c>
      <c r="AD244" s="32">
        <f>IF(A244="","",IF(AA244="Rejected",IF(AB244&lt;&gt;"","REJECTED","ADD REASON"),IF(AND(B244&lt;&gt;"",C244&lt;&gt;"",D244&lt;&gt;"",E244&lt;&gt;"",F244&lt;&gt;"",G244&lt;&gt;"",H244&lt;&gt;"",J244&lt;&gt;"",K244&lt;&gt;"",L244&lt;&gt;"",M244&lt;&gt;"",N244&lt;&gt;"",O244&lt;&gt;"",P244&lt;&gt;"",Q244&lt;&gt;"",R244&lt;&gt;"",S244&lt;&gt;"",T244&lt;&gt;"",U244&lt;&gt;"",V244&lt;&gt;"",W244&lt;&gt;"",X244&lt;&gt;"",Y244&lt;&gt;"",AC244="UNIQUE"),"READY","CHECK")))</f>
        <v/>
      </c>
    </row>
    <row r="245">
      <c r="A245" s="25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37" t="n"/>
      <c r="K245" s="34" t="n"/>
      <c r="L245" s="26" t="n"/>
      <c r="M245" s="37" t="n"/>
      <c r="N245" s="37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34" t="n"/>
      <c r="Y245" s="26" t="n"/>
      <c r="Z245" s="26" t="n"/>
      <c r="AA245" s="26" t="n"/>
      <c r="AB245" s="27" t="n"/>
      <c r="AC245" s="32">
        <f>IF(A245="","",IF(COUNTIF($H$5:$H$1004,H245)&gt;1,"DUPLICATE","UNIQUE"))</f>
        <v/>
      </c>
      <c r="AD245" s="32">
        <f>IF(A245="","",IF(AA245="Rejected",IF(AB245&lt;&gt;"","REJECTED","ADD REASON"),IF(AND(B245&lt;&gt;"",C245&lt;&gt;"",D245&lt;&gt;"",E245&lt;&gt;"",F245&lt;&gt;"",G245&lt;&gt;"",H245&lt;&gt;"",J245&lt;&gt;"",K245&lt;&gt;"",L245&lt;&gt;"",M245&lt;&gt;"",N245&lt;&gt;"",O245&lt;&gt;"",P245&lt;&gt;"",Q245&lt;&gt;"",R245&lt;&gt;"",S245&lt;&gt;"",T245&lt;&gt;"",U245&lt;&gt;"",V245&lt;&gt;"",W245&lt;&gt;"",X245&lt;&gt;"",Y245&lt;&gt;"",AC245="UNIQUE"),"READY","CHECK")))</f>
        <v/>
      </c>
    </row>
    <row r="246">
      <c r="A246" s="25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37" t="n"/>
      <c r="K246" s="34" t="n"/>
      <c r="L246" s="26" t="n"/>
      <c r="M246" s="37" t="n"/>
      <c r="N246" s="37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34" t="n"/>
      <c r="Y246" s="26" t="n"/>
      <c r="Z246" s="26" t="n"/>
      <c r="AA246" s="26" t="n"/>
      <c r="AB246" s="27" t="n"/>
      <c r="AC246" s="32">
        <f>IF(A246="","",IF(COUNTIF($H$5:$H$1004,H246)&gt;1,"DUPLICATE","UNIQUE"))</f>
        <v/>
      </c>
      <c r="AD246" s="32">
        <f>IF(A246="","",IF(AA246="Rejected",IF(AB246&lt;&gt;"","REJECTED","ADD REASON"),IF(AND(B246&lt;&gt;"",C246&lt;&gt;"",D246&lt;&gt;"",E246&lt;&gt;"",F246&lt;&gt;"",G246&lt;&gt;"",H246&lt;&gt;"",J246&lt;&gt;"",K246&lt;&gt;"",L246&lt;&gt;"",M246&lt;&gt;"",N246&lt;&gt;"",O246&lt;&gt;"",P246&lt;&gt;"",Q246&lt;&gt;"",R246&lt;&gt;"",S246&lt;&gt;"",T246&lt;&gt;"",U246&lt;&gt;"",V246&lt;&gt;"",W246&lt;&gt;"",X246&lt;&gt;"",Y246&lt;&gt;"",AC246="UNIQUE"),"READY","CHECK")))</f>
        <v/>
      </c>
    </row>
    <row r="247">
      <c r="A247" s="25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37" t="n"/>
      <c r="K247" s="34" t="n"/>
      <c r="L247" s="26" t="n"/>
      <c r="M247" s="37" t="n"/>
      <c r="N247" s="37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34" t="n"/>
      <c r="Y247" s="26" t="n"/>
      <c r="Z247" s="26" t="n"/>
      <c r="AA247" s="26" t="n"/>
      <c r="AB247" s="27" t="n"/>
      <c r="AC247" s="32">
        <f>IF(A247="","",IF(COUNTIF($H$5:$H$1004,H247)&gt;1,"DUPLICATE","UNIQUE"))</f>
        <v/>
      </c>
      <c r="AD247" s="32">
        <f>IF(A247="","",IF(AA247="Rejected",IF(AB247&lt;&gt;"","REJECTED","ADD REASON"),IF(AND(B247&lt;&gt;"",C247&lt;&gt;"",D247&lt;&gt;"",E247&lt;&gt;"",F247&lt;&gt;"",G247&lt;&gt;"",H247&lt;&gt;"",J247&lt;&gt;"",K247&lt;&gt;"",L247&lt;&gt;"",M247&lt;&gt;"",N247&lt;&gt;"",O247&lt;&gt;"",P247&lt;&gt;"",Q247&lt;&gt;"",R247&lt;&gt;"",S247&lt;&gt;"",T247&lt;&gt;"",U247&lt;&gt;"",V247&lt;&gt;"",W247&lt;&gt;"",X247&lt;&gt;"",Y247&lt;&gt;"",AC247="UNIQUE"),"READY","CHECK")))</f>
        <v/>
      </c>
    </row>
    <row r="248">
      <c r="A248" s="25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37" t="n"/>
      <c r="K248" s="34" t="n"/>
      <c r="L248" s="26" t="n"/>
      <c r="M248" s="37" t="n"/>
      <c r="N248" s="37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34" t="n"/>
      <c r="Y248" s="26" t="n"/>
      <c r="Z248" s="26" t="n"/>
      <c r="AA248" s="26" t="n"/>
      <c r="AB248" s="27" t="n"/>
      <c r="AC248" s="32">
        <f>IF(A248="","",IF(COUNTIF($H$5:$H$1004,H248)&gt;1,"DUPLICATE","UNIQUE"))</f>
        <v/>
      </c>
      <c r="AD248" s="32">
        <f>IF(A248="","",IF(AA248="Rejected",IF(AB248&lt;&gt;"","REJECTED","ADD REASON"),IF(AND(B248&lt;&gt;"",C248&lt;&gt;"",D248&lt;&gt;"",E248&lt;&gt;"",F248&lt;&gt;"",G248&lt;&gt;"",H248&lt;&gt;"",J248&lt;&gt;"",K248&lt;&gt;"",L248&lt;&gt;"",M248&lt;&gt;"",N248&lt;&gt;"",O248&lt;&gt;"",P248&lt;&gt;"",Q248&lt;&gt;"",R248&lt;&gt;"",S248&lt;&gt;"",T248&lt;&gt;"",U248&lt;&gt;"",V248&lt;&gt;"",W248&lt;&gt;"",X248&lt;&gt;"",Y248&lt;&gt;"",AC248="UNIQUE"),"READY","CHECK")))</f>
        <v/>
      </c>
    </row>
    <row r="249">
      <c r="A249" s="25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37" t="n"/>
      <c r="K249" s="34" t="n"/>
      <c r="L249" s="26" t="n"/>
      <c r="M249" s="37" t="n"/>
      <c r="N249" s="37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34" t="n"/>
      <c r="Y249" s="26" t="n"/>
      <c r="Z249" s="26" t="n"/>
      <c r="AA249" s="26" t="n"/>
      <c r="AB249" s="27" t="n"/>
      <c r="AC249" s="32">
        <f>IF(A249="","",IF(COUNTIF($H$5:$H$1004,H249)&gt;1,"DUPLICATE","UNIQUE"))</f>
        <v/>
      </c>
      <c r="AD249" s="32">
        <f>IF(A249="","",IF(AA249="Rejected",IF(AB249&lt;&gt;"","REJECTED","ADD REASON"),IF(AND(B249&lt;&gt;"",C249&lt;&gt;"",D249&lt;&gt;"",E249&lt;&gt;"",F249&lt;&gt;"",G249&lt;&gt;"",H249&lt;&gt;"",J249&lt;&gt;"",K249&lt;&gt;"",L249&lt;&gt;"",M249&lt;&gt;"",N249&lt;&gt;"",O249&lt;&gt;"",P249&lt;&gt;"",Q249&lt;&gt;"",R249&lt;&gt;"",S249&lt;&gt;"",T249&lt;&gt;"",U249&lt;&gt;"",V249&lt;&gt;"",W249&lt;&gt;"",X249&lt;&gt;"",Y249&lt;&gt;"",AC249="UNIQUE"),"READY","CHECK")))</f>
        <v/>
      </c>
    </row>
    <row r="250">
      <c r="A250" s="25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37" t="n"/>
      <c r="K250" s="34" t="n"/>
      <c r="L250" s="26" t="n"/>
      <c r="M250" s="37" t="n"/>
      <c r="N250" s="37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34" t="n"/>
      <c r="Y250" s="26" t="n"/>
      <c r="Z250" s="26" t="n"/>
      <c r="AA250" s="26" t="n"/>
      <c r="AB250" s="27" t="n"/>
      <c r="AC250" s="32">
        <f>IF(A250="","",IF(COUNTIF($H$5:$H$1004,H250)&gt;1,"DUPLICATE","UNIQUE"))</f>
        <v/>
      </c>
      <c r="AD250" s="32">
        <f>IF(A250="","",IF(AA250="Rejected",IF(AB250&lt;&gt;"","REJECTED","ADD REASON"),IF(AND(B250&lt;&gt;"",C250&lt;&gt;"",D250&lt;&gt;"",E250&lt;&gt;"",F250&lt;&gt;"",G250&lt;&gt;"",H250&lt;&gt;"",J250&lt;&gt;"",K250&lt;&gt;"",L250&lt;&gt;"",M250&lt;&gt;"",N250&lt;&gt;"",O250&lt;&gt;"",P250&lt;&gt;"",Q250&lt;&gt;"",R250&lt;&gt;"",S250&lt;&gt;"",T250&lt;&gt;"",U250&lt;&gt;"",V250&lt;&gt;"",W250&lt;&gt;"",X250&lt;&gt;"",Y250&lt;&gt;"",AC250="UNIQUE"),"READY","CHECK")))</f>
        <v/>
      </c>
    </row>
    <row r="251">
      <c r="A251" s="25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37" t="n"/>
      <c r="K251" s="34" t="n"/>
      <c r="L251" s="26" t="n"/>
      <c r="M251" s="37" t="n"/>
      <c r="N251" s="37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34" t="n"/>
      <c r="Y251" s="26" t="n"/>
      <c r="Z251" s="26" t="n"/>
      <c r="AA251" s="26" t="n"/>
      <c r="AB251" s="27" t="n"/>
      <c r="AC251" s="32">
        <f>IF(A251="","",IF(COUNTIF($H$5:$H$1004,H251)&gt;1,"DUPLICATE","UNIQUE"))</f>
        <v/>
      </c>
      <c r="AD251" s="32">
        <f>IF(A251="","",IF(AA251="Rejected",IF(AB251&lt;&gt;"","REJECTED","ADD REASON"),IF(AND(B251&lt;&gt;"",C251&lt;&gt;"",D251&lt;&gt;"",E251&lt;&gt;"",F251&lt;&gt;"",G251&lt;&gt;"",H251&lt;&gt;"",J251&lt;&gt;"",K251&lt;&gt;"",L251&lt;&gt;"",M251&lt;&gt;"",N251&lt;&gt;"",O251&lt;&gt;"",P251&lt;&gt;"",Q251&lt;&gt;"",R251&lt;&gt;"",S251&lt;&gt;"",T251&lt;&gt;"",U251&lt;&gt;"",V251&lt;&gt;"",W251&lt;&gt;"",X251&lt;&gt;"",Y251&lt;&gt;"",AC251="UNIQUE"),"READY","CHECK")))</f>
        <v/>
      </c>
    </row>
    <row r="252">
      <c r="A252" s="25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37" t="n"/>
      <c r="K252" s="34" t="n"/>
      <c r="L252" s="26" t="n"/>
      <c r="M252" s="37" t="n"/>
      <c r="N252" s="37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34" t="n"/>
      <c r="Y252" s="26" t="n"/>
      <c r="Z252" s="26" t="n"/>
      <c r="AA252" s="26" t="n"/>
      <c r="AB252" s="27" t="n"/>
      <c r="AC252" s="32">
        <f>IF(A252="","",IF(COUNTIF($H$5:$H$1004,H252)&gt;1,"DUPLICATE","UNIQUE"))</f>
        <v/>
      </c>
      <c r="AD252" s="32">
        <f>IF(A252="","",IF(AA252="Rejected",IF(AB252&lt;&gt;"","REJECTED","ADD REASON"),IF(AND(B252&lt;&gt;"",C252&lt;&gt;"",D252&lt;&gt;"",E252&lt;&gt;"",F252&lt;&gt;"",G252&lt;&gt;"",H252&lt;&gt;"",J252&lt;&gt;"",K252&lt;&gt;"",L252&lt;&gt;"",M252&lt;&gt;"",N252&lt;&gt;"",O252&lt;&gt;"",P252&lt;&gt;"",Q252&lt;&gt;"",R252&lt;&gt;"",S252&lt;&gt;"",T252&lt;&gt;"",U252&lt;&gt;"",V252&lt;&gt;"",W252&lt;&gt;"",X252&lt;&gt;"",Y252&lt;&gt;"",AC252="UNIQUE"),"READY","CHECK")))</f>
        <v/>
      </c>
    </row>
    <row r="253">
      <c r="A253" s="25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37" t="n"/>
      <c r="K253" s="34" t="n"/>
      <c r="L253" s="26" t="n"/>
      <c r="M253" s="37" t="n"/>
      <c r="N253" s="37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34" t="n"/>
      <c r="Y253" s="26" t="n"/>
      <c r="Z253" s="26" t="n"/>
      <c r="AA253" s="26" t="n"/>
      <c r="AB253" s="27" t="n"/>
      <c r="AC253" s="32">
        <f>IF(A253="","",IF(COUNTIF($H$5:$H$1004,H253)&gt;1,"DUPLICATE","UNIQUE"))</f>
        <v/>
      </c>
      <c r="AD253" s="32">
        <f>IF(A253="","",IF(AA253="Rejected",IF(AB253&lt;&gt;"","REJECTED","ADD REASON"),IF(AND(B253&lt;&gt;"",C253&lt;&gt;"",D253&lt;&gt;"",E253&lt;&gt;"",F253&lt;&gt;"",G253&lt;&gt;"",H253&lt;&gt;"",J253&lt;&gt;"",K253&lt;&gt;"",L253&lt;&gt;"",M253&lt;&gt;"",N253&lt;&gt;"",O253&lt;&gt;"",P253&lt;&gt;"",Q253&lt;&gt;"",R253&lt;&gt;"",S253&lt;&gt;"",T253&lt;&gt;"",U253&lt;&gt;"",V253&lt;&gt;"",W253&lt;&gt;"",X253&lt;&gt;"",Y253&lt;&gt;"",AC253="UNIQUE"),"READY","CHECK")))</f>
        <v/>
      </c>
    </row>
    <row r="254">
      <c r="A254" s="25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37" t="n"/>
      <c r="K254" s="34" t="n"/>
      <c r="L254" s="26" t="n"/>
      <c r="M254" s="37" t="n"/>
      <c r="N254" s="37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34" t="n"/>
      <c r="Y254" s="26" t="n"/>
      <c r="Z254" s="26" t="n"/>
      <c r="AA254" s="26" t="n"/>
      <c r="AB254" s="27" t="n"/>
      <c r="AC254" s="32">
        <f>IF(A254="","",IF(COUNTIF($H$5:$H$1004,H254)&gt;1,"DUPLICATE","UNIQUE"))</f>
        <v/>
      </c>
      <c r="AD254" s="32">
        <f>IF(A254="","",IF(AA254="Rejected",IF(AB254&lt;&gt;"","REJECTED","ADD REASON"),IF(AND(B254&lt;&gt;"",C254&lt;&gt;"",D254&lt;&gt;"",E254&lt;&gt;"",F254&lt;&gt;"",G254&lt;&gt;"",H254&lt;&gt;"",J254&lt;&gt;"",K254&lt;&gt;"",L254&lt;&gt;"",M254&lt;&gt;"",N254&lt;&gt;"",O254&lt;&gt;"",P254&lt;&gt;"",Q254&lt;&gt;"",R254&lt;&gt;"",S254&lt;&gt;"",T254&lt;&gt;"",U254&lt;&gt;"",V254&lt;&gt;"",W254&lt;&gt;"",X254&lt;&gt;"",Y254&lt;&gt;"",AC254="UNIQUE"),"READY","CHECK")))</f>
        <v/>
      </c>
    </row>
    <row r="255">
      <c r="A255" s="25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37" t="n"/>
      <c r="K255" s="34" t="n"/>
      <c r="L255" s="26" t="n"/>
      <c r="M255" s="37" t="n"/>
      <c r="N255" s="37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34" t="n"/>
      <c r="Y255" s="26" t="n"/>
      <c r="Z255" s="26" t="n"/>
      <c r="AA255" s="26" t="n"/>
      <c r="AB255" s="27" t="n"/>
      <c r="AC255" s="32">
        <f>IF(A255="","",IF(COUNTIF($H$5:$H$1004,H255)&gt;1,"DUPLICATE","UNIQUE"))</f>
        <v/>
      </c>
      <c r="AD255" s="32">
        <f>IF(A255="","",IF(AA255="Rejected",IF(AB255&lt;&gt;"","REJECTED","ADD REASON"),IF(AND(B255&lt;&gt;"",C255&lt;&gt;"",D255&lt;&gt;"",E255&lt;&gt;"",F255&lt;&gt;"",G255&lt;&gt;"",H255&lt;&gt;"",J255&lt;&gt;"",K255&lt;&gt;"",L255&lt;&gt;"",M255&lt;&gt;"",N255&lt;&gt;"",O255&lt;&gt;"",P255&lt;&gt;"",Q255&lt;&gt;"",R255&lt;&gt;"",S255&lt;&gt;"",T255&lt;&gt;"",U255&lt;&gt;"",V255&lt;&gt;"",W255&lt;&gt;"",X255&lt;&gt;"",Y255&lt;&gt;"",AC255="UNIQUE"),"READY","CHECK")))</f>
        <v/>
      </c>
    </row>
    <row r="256">
      <c r="A256" s="25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37" t="n"/>
      <c r="K256" s="34" t="n"/>
      <c r="L256" s="26" t="n"/>
      <c r="M256" s="37" t="n"/>
      <c r="N256" s="37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34" t="n"/>
      <c r="Y256" s="26" t="n"/>
      <c r="Z256" s="26" t="n"/>
      <c r="AA256" s="26" t="n"/>
      <c r="AB256" s="27" t="n"/>
      <c r="AC256" s="32">
        <f>IF(A256="","",IF(COUNTIF($H$5:$H$1004,H256)&gt;1,"DUPLICATE","UNIQUE"))</f>
        <v/>
      </c>
      <c r="AD256" s="32">
        <f>IF(A256="","",IF(AA256="Rejected",IF(AB256&lt;&gt;"","REJECTED","ADD REASON"),IF(AND(B256&lt;&gt;"",C256&lt;&gt;"",D256&lt;&gt;"",E256&lt;&gt;"",F256&lt;&gt;"",G256&lt;&gt;"",H256&lt;&gt;"",J256&lt;&gt;"",K256&lt;&gt;"",L256&lt;&gt;"",M256&lt;&gt;"",N256&lt;&gt;"",O256&lt;&gt;"",P256&lt;&gt;"",Q256&lt;&gt;"",R256&lt;&gt;"",S256&lt;&gt;"",T256&lt;&gt;"",U256&lt;&gt;"",V256&lt;&gt;"",W256&lt;&gt;"",X256&lt;&gt;"",Y256&lt;&gt;"",AC256="UNIQUE"),"READY","CHECK")))</f>
        <v/>
      </c>
    </row>
    <row r="257">
      <c r="A257" s="25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37" t="n"/>
      <c r="K257" s="34" t="n"/>
      <c r="L257" s="26" t="n"/>
      <c r="M257" s="37" t="n"/>
      <c r="N257" s="37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34" t="n"/>
      <c r="Y257" s="26" t="n"/>
      <c r="Z257" s="26" t="n"/>
      <c r="AA257" s="26" t="n"/>
      <c r="AB257" s="27" t="n"/>
      <c r="AC257" s="32">
        <f>IF(A257="","",IF(COUNTIF($H$5:$H$1004,H257)&gt;1,"DUPLICATE","UNIQUE"))</f>
        <v/>
      </c>
      <c r="AD257" s="32">
        <f>IF(A257="","",IF(AA257="Rejected",IF(AB257&lt;&gt;"","REJECTED","ADD REASON"),IF(AND(B257&lt;&gt;"",C257&lt;&gt;"",D257&lt;&gt;"",E257&lt;&gt;"",F257&lt;&gt;"",G257&lt;&gt;"",H257&lt;&gt;"",J257&lt;&gt;"",K257&lt;&gt;"",L257&lt;&gt;"",M257&lt;&gt;"",N257&lt;&gt;"",O257&lt;&gt;"",P257&lt;&gt;"",Q257&lt;&gt;"",R257&lt;&gt;"",S257&lt;&gt;"",T257&lt;&gt;"",U257&lt;&gt;"",V257&lt;&gt;"",W257&lt;&gt;"",X257&lt;&gt;"",Y257&lt;&gt;"",AC257="UNIQUE"),"READY","CHECK")))</f>
        <v/>
      </c>
    </row>
    <row r="258">
      <c r="A258" s="25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37" t="n"/>
      <c r="K258" s="34" t="n"/>
      <c r="L258" s="26" t="n"/>
      <c r="M258" s="37" t="n"/>
      <c r="N258" s="37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34" t="n"/>
      <c r="Y258" s="26" t="n"/>
      <c r="Z258" s="26" t="n"/>
      <c r="AA258" s="26" t="n"/>
      <c r="AB258" s="27" t="n"/>
      <c r="AC258" s="32">
        <f>IF(A258="","",IF(COUNTIF($H$5:$H$1004,H258)&gt;1,"DUPLICATE","UNIQUE"))</f>
        <v/>
      </c>
      <c r="AD258" s="32">
        <f>IF(A258="","",IF(AA258="Rejected",IF(AB258&lt;&gt;"","REJECTED","ADD REASON"),IF(AND(B258&lt;&gt;"",C258&lt;&gt;"",D258&lt;&gt;"",E258&lt;&gt;"",F258&lt;&gt;"",G258&lt;&gt;"",H258&lt;&gt;"",J258&lt;&gt;"",K258&lt;&gt;"",L258&lt;&gt;"",M258&lt;&gt;"",N258&lt;&gt;"",O258&lt;&gt;"",P258&lt;&gt;"",Q258&lt;&gt;"",R258&lt;&gt;"",S258&lt;&gt;"",T258&lt;&gt;"",U258&lt;&gt;"",V258&lt;&gt;"",W258&lt;&gt;"",X258&lt;&gt;"",Y258&lt;&gt;"",AC258="UNIQUE"),"READY","CHECK")))</f>
        <v/>
      </c>
    </row>
    <row r="259">
      <c r="A259" s="25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37" t="n"/>
      <c r="K259" s="34" t="n"/>
      <c r="L259" s="26" t="n"/>
      <c r="M259" s="37" t="n"/>
      <c r="N259" s="37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34" t="n"/>
      <c r="Y259" s="26" t="n"/>
      <c r="Z259" s="26" t="n"/>
      <c r="AA259" s="26" t="n"/>
      <c r="AB259" s="27" t="n"/>
      <c r="AC259" s="32">
        <f>IF(A259="","",IF(COUNTIF($H$5:$H$1004,H259)&gt;1,"DUPLICATE","UNIQUE"))</f>
        <v/>
      </c>
      <c r="AD259" s="32">
        <f>IF(A259="","",IF(AA259="Rejected",IF(AB259&lt;&gt;"","REJECTED","ADD REASON"),IF(AND(B259&lt;&gt;"",C259&lt;&gt;"",D259&lt;&gt;"",E259&lt;&gt;"",F259&lt;&gt;"",G259&lt;&gt;"",H259&lt;&gt;"",J259&lt;&gt;"",K259&lt;&gt;"",L259&lt;&gt;"",M259&lt;&gt;"",N259&lt;&gt;"",O259&lt;&gt;"",P259&lt;&gt;"",Q259&lt;&gt;"",R259&lt;&gt;"",S259&lt;&gt;"",T259&lt;&gt;"",U259&lt;&gt;"",V259&lt;&gt;"",W259&lt;&gt;"",X259&lt;&gt;"",Y259&lt;&gt;"",AC259="UNIQUE"),"READY","CHECK")))</f>
        <v/>
      </c>
    </row>
    <row r="260">
      <c r="A260" s="25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37" t="n"/>
      <c r="K260" s="34" t="n"/>
      <c r="L260" s="26" t="n"/>
      <c r="M260" s="37" t="n"/>
      <c r="N260" s="37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34" t="n"/>
      <c r="Y260" s="26" t="n"/>
      <c r="Z260" s="26" t="n"/>
      <c r="AA260" s="26" t="n"/>
      <c r="AB260" s="27" t="n"/>
      <c r="AC260" s="32">
        <f>IF(A260="","",IF(COUNTIF($H$5:$H$1004,H260)&gt;1,"DUPLICATE","UNIQUE"))</f>
        <v/>
      </c>
      <c r="AD260" s="32">
        <f>IF(A260="","",IF(AA260="Rejected",IF(AB260&lt;&gt;"","REJECTED","ADD REASON"),IF(AND(B260&lt;&gt;"",C260&lt;&gt;"",D260&lt;&gt;"",E260&lt;&gt;"",F260&lt;&gt;"",G260&lt;&gt;"",H260&lt;&gt;"",J260&lt;&gt;"",K260&lt;&gt;"",L260&lt;&gt;"",M260&lt;&gt;"",N260&lt;&gt;"",O260&lt;&gt;"",P260&lt;&gt;"",Q260&lt;&gt;"",R260&lt;&gt;"",S260&lt;&gt;"",T260&lt;&gt;"",U260&lt;&gt;"",V260&lt;&gt;"",W260&lt;&gt;"",X260&lt;&gt;"",Y260&lt;&gt;"",AC260="UNIQUE"),"READY","CHECK")))</f>
        <v/>
      </c>
    </row>
    <row r="261">
      <c r="A261" s="25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37" t="n"/>
      <c r="K261" s="34" t="n"/>
      <c r="L261" s="26" t="n"/>
      <c r="M261" s="37" t="n"/>
      <c r="N261" s="37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34" t="n"/>
      <c r="Y261" s="26" t="n"/>
      <c r="Z261" s="26" t="n"/>
      <c r="AA261" s="26" t="n"/>
      <c r="AB261" s="27" t="n"/>
      <c r="AC261" s="32">
        <f>IF(A261="","",IF(COUNTIF($H$5:$H$1004,H261)&gt;1,"DUPLICATE","UNIQUE"))</f>
        <v/>
      </c>
      <c r="AD261" s="32">
        <f>IF(A261="","",IF(AA261="Rejected",IF(AB261&lt;&gt;"","REJECTED","ADD REASON"),IF(AND(B261&lt;&gt;"",C261&lt;&gt;"",D261&lt;&gt;"",E261&lt;&gt;"",F261&lt;&gt;"",G261&lt;&gt;"",H261&lt;&gt;"",J261&lt;&gt;"",K261&lt;&gt;"",L261&lt;&gt;"",M261&lt;&gt;"",N261&lt;&gt;"",O261&lt;&gt;"",P261&lt;&gt;"",Q261&lt;&gt;"",R261&lt;&gt;"",S261&lt;&gt;"",T261&lt;&gt;"",U261&lt;&gt;"",V261&lt;&gt;"",W261&lt;&gt;"",X261&lt;&gt;"",Y261&lt;&gt;"",AC261="UNIQUE"),"READY","CHECK")))</f>
        <v/>
      </c>
    </row>
    <row r="262">
      <c r="A262" s="25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37" t="n"/>
      <c r="K262" s="34" t="n"/>
      <c r="L262" s="26" t="n"/>
      <c r="M262" s="37" t="n"/>
      <c r="N262" s="37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34" t="n"/>
      <c r="Y262" s="26" t="n"/>
      <c r="Z262" s="26" t="n"/>
      <c r="AA262" s="26" t="n"/>
      <c r="AB262" s="27" t="n"/>
      <c r="AC262" s="32">
        <f>IF(A262="","",IF(COUNTIF($H$5:$H$1004,H262)&gt;1,"DUPLICATE","UNIQUE"))</f>
        <v/>
      </c>
      <c r="AD262" s="32">
        <f>IF(A262="","",IF(AA262="Rejected",IF(AB262&lt;&gt;"","REJECTED","ADD REASON"),IF(AND(B262&lt;&gt;"",C262&lt;&gt;"",D262&lt;&gt;"",E262&lt;&gt;"",F262&lt;&gt;"",G262&lt;&gt;"",H262&lt;&gt;"",J262&lt;&gt;"",K262&lt;&gt;"",L262&lt;&gt;"",M262&lt;&gt;"",N262&lt;&gt;"",O262&lt;&gt;"",P262&lt;&gt;"",Q262&lt;&gt;"",R262&lt;&gt;"",S262&lt;&gt;"",T262&lt;&gt;"",U262&lt;&gt;"",V262&lt;&gt;"",W262&lt;&gt;"",X262&lt;&gt;"",Y262&lt;&gt;"",AC262="UNIQUE"),"READY","CHECK")))</f>
        <v/>
      </c>
    </row>
    <row r="263">
      <c r="A263" s="25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37" t="n"/>
      <c r="K263" s="34" t="n"/>
      <c r="L263" s="26" t="n"/>
      <c r="M263" s="37" t="n"/>
      <c r="N263" s="37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34" t="n"/>
      <c r="Y263" s="26" t="n"/>
      <c r="Z263" s="26" t="n"/>
      <c r="AA263" s="26" t="n"/>
      <c r="AB263" s="27" t="n"/>
      <c r="AC263" s="32">
        <f>IF(A263="","",IF(COUNTIF($H$5:$H$1004,H263)&gt;1,"DUPLICATE","UNIQUE"))</f>
        <v/>
      </c>
      <c r="AD263" s="32">
        <f>IF(A263="","",IF(AA263="Rejected",IF(AB263&lt;&gt;"","REJECTED","ADD REASON"),IF(AND(B263&lt;&gt;"",C263&lt;&gt;"",D263&lt;&gt;"",E263&lt;&gt;"",F263&lt;&gt;"",G263&lt;&gt;"",H263&lt;&gt;"",J263&lt;&gt;"",K263&lt;&gt;"",L263&lt;&gt;"",M263&lt;&gt;"",N263&lt;&gt;"",O263&lt;&gt;"",P263&lt;&gt;"",Q263&lt;&gt;"",R263&lt;&gt;"",S263&lt;&gt;"",T263&lt;&gt;"",U263&lt;&gt;"",V263&lt;&gt;"",W263&lt;&gt;"",X263&lt;&gt;"",Y263&lt;&gt;"",AC263="UNIQUE"),"READY","CHECK")))</f>
        <v/>
      </c>
    </row>
    <row r="264">
      <c r="A264" s="25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37" t="n"/>
      <c r="K264" s="34" t="n"/>
      <c r="L264" s="26" t="n"/>
      <c r="M264" s="37" t="n"/>
      <c r="N264" s="37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34" t="n"/>
      <c r="Y264" s="26" t="n"/>
      <c r="Z264" s="26" t="n"/>
      <c r="AA264" s="26" t="n"/>
      <c r="AB264" s="27" t="n"/>
      <c r="AC264" s="32">
        <f>IF(A264="","",IF(COUNTIF($H$5:$H$1004,H264)&gt;1,"DUPLICATE","UNIQUE"))</f>
        <v/>
      </c>
      <c r="AD264" s="32">
        <f>IF(A264="","",IF(AA264="Rejected",IF(AB264&lt;&gt;"","REJECTED","ADD REASON"),IF(AND(B264&lt;&gt;"",C264&lt;&gt;"",D264&lt;&gt;"",E264&lt;&gt;"",F264&lt;&gt;"",G264&lt;&gt;"",H264&lt;&gt;"",J264&lt;&gt;"",K264&lt;&gt;"",L264&lt;&gt;"",M264&lt;&gt;"",N264&lt;&gt;"",O264&lt;&gt;"",P264&lt;&gt;"",Q264&lt;&gt;"",R264&lt;&gt;"",S264&lt;&gt;"",T264&lt;&gt;"",U264&lt;&gt;"",V264&lt;&gt;"",W264&lt;&gt;"",X264&lt;&gt;"",Y264&lt;&gt;"",AC264="UNIQUE"),"READY","CHECK")))</f>
        <v/>
      </c>
    </row>
    <row r="265">
      <c r="A265" s="25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37" t="n"/>
      <c r="K265" s="34" t="n"/>
      <c r="L265" s="26" t="n"/>
      <c r="M265" s="37" t="n"/>
      <c r="N265" s="37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34" t="n"/>
      <c r="Y265" s="26" t="n"/>
      <c r="Z265" s="26" t="n"/>
      <c r="AA265" s="26" t="n"/>
      <c r="AB265" s="27" t="n"/>
      <c r="AC265" s="32">
        <f>IF(A265="","",IF(COUNTIF($H$5:$H$1004,H265)&gt;1,"DUPLICATE","UNIQUE"))</f>
        <v/>
      </c>
      <c r="AD265" s="32">
        <f>IF(A265="","",IF(AA265="Rejected",IF(AB265&lt;&gt;"","REJECTED","ADD REASON"),IF(AND(B265&lt;&gt;"",C265&lt;&gt;"",D265&lt;&gt;"",E265&lt;&gt;"",F265&lt;&gt;"",G265&lt;&gt;"",H265&lt;&gt;"",J265&lt;&gt;"",K265&lt;&gt;"",L265&lt;&gt;"",M265&lt;&gt;"",N265&lt;&gt;"",O265&lt;&gt;"",P265&lt;&gt;"",Q265&lt;&gt;"",R265&lt;&gt;"",S265&lt;&gt;"",T265&lt;&gt;"",U265&lt;&gt;"",V265&lt;&gt;"",W265&lt;&gt;"",X265&lt;&gt;"",Y265&lt;&gt;"",AC265="UNIQUE"),"READY","CHECK")))</f>
        <v/>
      </c>
    </row>
    <row r="266">
      <c r="A266" s="25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37" t="n"/>
      <c r="K266" s="34" t="n"/>
      <c r="L266" s="26" t="n"/>
      <c r="M266" s="37" t="n"/>
      <c r="N266" s="37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34" t="n"/>
      <c r="Y266" s="26" t="n"/>
      <c r="Z266" s="26" t="n"/>
      <c r="AA266" s="26" t="n"/>
      <c r="AB266" s="27" t="n"/>
      <c r="AC266" s="32">
        <f>IF(A266="","",IF(COUNTIF($H$5:$H$1004,H266)&gt;1,"DUPLICATE","UNIQUE"))</f>
        <v/>
      </c>
      <c r="AD266" s="32">
        <f>IF(A266="","",IF(AA266="Rejected",IF(AB266&lt;&gt;"","REJECTED","ADD REASON"),IF(AND(B266&lt;&gt;"",C266&lt;&gt;"",D266&lt;&gt;"",E266&lt;&gt;"",F266&lt;&gt;"",G266&lt;&gt;"",H266&lt;&gt;"",J266&lt;&gt;"",K266&lt;&gt;"",L266&lt;&gt;"",M266&lt;&gt;"",N266&lt;&gt;"",O266&lt;&gt;"",P266&lt;&gt;"",Q266&lt;&gt;"",R266&lt;&gt;"",S266&lt;&gt;"",T266&lt;&gt;"",U266&lt;&gt;"",V266&lt;&gt;"",W266&lt;&gt;"",X266&lt;&gt;"",Y266&lt;&gt;"",AC266="UNIQUE"),"READY","CHECK")))</f>
        <v/>
      </c>
    </row>
    <row r="267">
      <c r="A267" s="25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37" t="n"/>
      <c r="K267" s="34" t="n"/>
      <c r="L267" s="26" t="n"/>
      <c r="M267" s="37" t="n"/>
      <c r="N267" s="37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34" t="n"/>
      <c r="Y267" s="26" t="n"/>
      <c r="Z267" s="26" t="n"/>
      <c r="AA267" s="26" t="n"/>
      <c r="AB267" s="27" t="n"/>
      <c r="AC267" s="32">
        <f>IF(A267="","",IF(COUNTIF($H$5:$H$1004,H267)&gt;1,"DUPLICATE","UNIQUE"))</f>
        <v/>
      </c>
      <c r="AD267" s="32">
        <f>IF(A267="","",IF(AA267="Rejected",IF(AB267&lt;&gt;"","REJECTED","ADD REASON"),IF(AND(B267&lt;&gt;"",C267&lt;&gt;"",D267&lt;&gt;"",E267&lt;&gt;"",F267&lt;&gt;"",G267&lt;&gt;"",H267&lt;&gt;"",J267&lt;&gt;"",K267&lt;&gt;"",L267&lt;&gt;"",M267&lt;&gt;"",N267&lt;&gt;"",O267&lt;&gt;"",P267&lt;&gt;"",Q267&lt;&gt;"",R267&lt;&gt;"",S267&lt;&gt;"",T267&lt;&gt;"",U267&lt;&gt;"",V267&lt;&gt;"",W267&lt;&gt;"",X267&lt;&gt;"",Y267&lt;&gt;"",AC267="UNIQUE"),"READY","CHECK")))</f>
        <v/>
      </c>
    </row>
    <row r="268">
      <c r="A268" s="25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37" t="n"/>
      <c r="K268" s="34" t="n"/>
      <c r="L268" s="26" t="n"/>
      <c r="M268" s="37" t="n"/>
      <c r="N268" s="37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34" t="n"/>
      <c r="Y268" s="26" t="n"/>
      <c r="Z268" s="26" t="n"/>
      <c r="AA268" s="26" t="n"/>
      <c r="AB268" s="27" t="n"/>
      <c r="AC268" s="32">
        <f>IF(A268="","",IF(COUNTIF($H$5:$H$1004,H268)&gt;1,"DUPLICATE","UNIQUE"))</f>
        <v/>
      </c>
      <c r="AD268" s="32">
        <f>IF(A268="","",IF(AA268="Rejected",IF(AB268&lt;&gt;"","REJECTED","ADD REASON"),IF(AND(B268&lt;&gt;"",C268&lt;&gt;"",D268&lt;&gt;"",E268&lt;&gt;"",F268&lt;&gt;"",G268&lt;&gt;"",H268&lt;&gt;"",J268&lt;&gt;"",K268&lt;&gt;"",L268&lt;&gt;"",M268&lt;&gt;"",N268&lt;&gt;"",O268&lt;&gt;"",P268&lt;&gt;"",Q268&lt;&gt;"",R268&lt;&gt;"",S268&lt;&gt;"",T268&lt;&gt;"",U268&lt;&gt;"",V268&lt;&gt;"",W268&lt;&gt;"",X268&lt;&gt;"",Y268&lt;&gt;"",AC268="UNIQUE"),"READY","CHECK")))</f>
        <v/>
      </c>
    </row>
    <row r="269">
      <c r="A269" s="25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37" t="n"/>
      <c r="K269" s="34" t="n"/>
      <c r="L269" s="26" t="n"/>
      <c r="M269" s="37" t="n"/>
      <c r="N269" s="37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34" t="n"/>
      <c r="Y269" s="26" t="n"/>
      <c r="Z269" s="26" t="n"/>
      <c r="AA269" s="26" t="n"/>
      <c r="AB269" s="27" t="n"/>
      <c r="AC269" s="32">
        <f>IF(A269="","",IF(COUNTIF($H$5:$H$1004,H269)&gt;1,"DUPLICATE","UNIQUE"))</f>
        <v/>
      </c>
      <c r="AD269" s="32">
        <f>IF(A269="","",IF(AA269="Rejected",IF(AB269&lt;&gt;"","REJECTED","ADD REASON"),IF(AND(B269&lt;&gt;"",C269&lt;&gt;"",D269&lt;&gt;"",E269&lt;&gt;"",F269&lt;&gt;"",G269&lt;&gt;"",H269&lt;&gt;"",J269&lt;&gt;"",K269&lt;&gt;"",L269&lt;&gt;"",M269&lt;&gt;"",N269&lt;&gt;"",O269&lt;&gt;"",P269&lt;&gt;"",Q269&lt;&gt;"",R269&lt;&gt;"",S269&lt;&gt;"",T269&lt;&gt;"",U269&lt;&gt;"",V269&lt;&gt;"",W269&lt;&gt;"",X269&lt;&gt;"",Y269&lt;&gt;"",AC269="UNIQUE"),"READY","CHECK")))</f>
        <v/>
      </c>
    </row>
    <row r="270">
      <c r="A270" s="25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37" t="n"/>
      <c r="K270" s="34" t="n"/>
      <c r="L270" s="26" t="n"/>
      <c r="M270" s="37" t="n"/>
      <c r="N270" s="37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34" t="n"/>
      <c r="Y270" s="26" t="n"/>
      <c r="Z270" s="26" t="n"/>
      <c r="AA270" s="26" t="n"/>
      <c r="AB270" s="27" t="n"/>
      <c r="AC270" s="32">
        <f>IF(A270="","",IF(COUNTIF($H$5:$H$1004,H270)&gt;1,"DUPLICATE","UNIQUE"))</f>
        <v/>
      </c>
      <c r="AD270" s="32">
        <f>IF(A270="","",IF(AA270="Rejected",IF(AB270&lt;&gt;"","REJECTED","ADD REASON"),IF(AND(B270&lt;&gt;"",C270&lt;&gt;"",D270&lt;&gt;"",E270&lt;&gt;"",F270&lt;&gt;"",G270&lt;&gt;"",H270&lt;&gt;"",J270&lt;&gt;"",K270&lt;&gt;"",L270&lt;&gt;"",M270&lt;&gt;"",N270&lt;&gt;"",O270&lt;&gt;"",P270&lt;&gt;"",Q270&lt;&gt;"",R270&lt;&gt;"",S270&lt;&gt;"",T270&lt;&gt;"",U270&lt;&gt;"",V270&lt;&gt;"",W270&lt;&gt;"",X270&lt;&gt;"",Y270&lt;&gt;"",AC270="UNIQUE"),"READY","CHECK")))</f>
        <v/>
      </c>
    </row>
    <row r="271">
      <c r="A271" s="25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37" t="n"/>
      <c r="K271" s="34" t="n"/>
      <c r="L271" s="26" t="n"/>
      <c r="M271" s="37" t="n"/>
      <c r="N271" s="37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34" t="n"/>
      <c r="Y271" s="26" t="n"/>
      <c r="Z271" s="26" t="n"/>
      <c r="AA271" s="26" t="n"/>
      <c r="AB271" s="27" t="n"/>
      <c r="AC271" s="32">
        <f>IF(A271="","",IF(COUNTIF($H$5:$H$1004,H271)&gt;1,"DUPLICATE","UNIQUE"))</f>
        <v/>
      </c>
      <c r="AD271" s="32">
        <f>IF(A271="","",IF(AA271="Rejected",IF(AB271&lt;&gt;"","REJECTED","ADD REASON"),IF(AND(B271&lt;&gt;"",C271&lt;&gt;"",D271&lt;&gt;"",E271&lt;&gt;"",F271&lt;&gt;"",G271&lt;&gt;"",H271&lt;&gt;"",J271&lt;&gt;"",K271&lt;&gt;"",L271&lt;&gt;"",M271&lt;&gt;"",N271&lt;&gt;"",O271&lt;&gt;"",P271&lt;&gt;"",Q271&lt;&gt;"",R271&lt;&gt;"",S271&lt;&gt;"",T271&lt;&gt;"",U271&lt;&gt;"",V271&lt;&gt;"",W271&lt;&gt;"",X271&lt;&gt;"",Y271&lt;&gt;"",AC271="UNIQUE"),"READY","CHECK")))</f>
        <v/>
      </c>
    </row>
    <row r="272">
      <c r="A272" s="25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37" t="n"/>
      <c r="K272" s="34" t="n"/>
      <c r="L272" s="26" t="n"/>
      <c r="M272" s="37" t="n"/>
      <c r="N272" s="37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34" t="n"/>
      <c r="Y272" s="26" t="n"/>
      <c r="Z272" s="26" t="n"/>
      <c r="AA272" s="26" t="n"/>
      <c r="AB272" s="27" t="n"/>
      <c r="AC272" s="32">
        <f>IF(A272="","",IF(COUNTIF($H$5:$H$1004,H272)&gt;1,"DUPLICATE","UNIQUE"))</f>
        <v/>
      </c>
      <c r="AD272" s="32">
        <f>IF(A272="","",IF(AA272="Rejected",IF(AB272&lt;&gt;"","REJECTED","ADD REASON"),IF(AND(B272&lt;&gt;"",C272&lt;&gt;"",D272&lt;&gt;"",E272&lt;&gt;"",F272&lt;&gt;"",G272&lt;&gt;"",H272&lt;&gt;"",J272&lt;&gt;"",K272&lt;&gt;"",L272&lt;&gt;"",M272&lt;&gt;"",N272&lt;&gt;"",O272&lt;&gt;"",P272&lt;&gt;"",Q272&lt;&gt;"",R272&lt;&gt;"",S272&lt;&gt;"",T272&lt;&gt;"",U272&lt;&gt;"",V272&lt;&gt;"",W272&lt;&gt;"",X272&lt;&gt;"",Y272&lt;&gt;"",AC272="UNIQUE"),"READY","CHECK")))</f>
        <v/>
      </c>
    </row>
    <row r="273">
      <c r="A273" s="25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37" t="n"/>
      <c r="K273" s="34" t="n"/>
      <c r="L273" s="26" t="n"/>
      <c r="M273" s="37" t="n"/>
      <c r="N273" s="37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34" t="n"/>
      <c r="Y273" s="26" t="n"/>
      <c r="Z273" s="26" t="n"/>
      <c r="AA273" s="26" t="n"/>
      <c r="AB273" s="27" t="n"/>
      <c r="AC273" s="32">
        <f>IF(A273="","",IF(COUNTIF($H$5:$H$1004,H273)&gt;1,"DUPLICATE","UNIQUE"))</f>
        <v/>
      </c>
      <c r="AD273" s="32">
        <f>IF(A273="","",IF(AA273="Rejected",IF(AB273&lt;&gt;"","REJECTED","ADD REASON"),IF(AND(B273&lt;&gt;"",C273&lt;&gt;"",D273&lt;&gt;"",E273&lt;&gt;"",F273&lt;&gt;"",G273&lt;&gt;"",H273&lt;&gt;"",J273&lt;&gt;"",K273&lt;&gt;"",L273&lt;&gt;"",M273&lt;&gt;"",N273&lt;&gt;"",O273&lt;&gt;"",P273&lt;&gt;"",Q273&lt;&gt;"",R273&lt;&gt;"",S273&lt;&gt;"",T273&lt;&gt;"",U273&lt;&gt;"",V273&lt;&gt;"",W273&lt;&gt;"",X273&lt;&gt;"",Y273&lt;&gt;"",AC273="UNIQUE"),"READY","CHECK")))</f>
        <v/>
      </c>
    </row>
    <row r="274">
      <c r="A274" s="25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37" t="n"/>
      <c r="K274" s="34" t="n"/>
      <c r="L274" s="26" t="n"/>
      <c r="M274" s="37" t="n"/>
      <c r="N274" s="37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34" t="n"/>
      <c r="Y274" s="26" t="n"/>
      <c r="Z274" s="26" t="n"/>
      <c r="AA274" s="26" t="n"/>
      <c r="AB274" s="27" t="n"/>
      <c r="AC274" s="32">
        <f>IF(A274="","",IF(COUNTIF($H$5:$H$1004,H274)&gt;1,"DUPLICATE","UNIQUE"))</f>
        <v/>
      </c>
      <c r="AD274" s="32">
        <f>IF(A274="","",IF(AA274="Rejected",IF(AB274&lt;&gt;"","REJECTED","ADD REASON"),IF(AND(B274&lt;&gt;"",C274&lt;&gt;"",D274&lt;&gt;"",E274&lt;&gt;"",F274&lt;&gt;"",G274&lt;&gt;"",H274&lt;&gt;"",J274&lt;&gt;"",K274&lt;&gt;"",L274&lt;&gt;"",M274&lt;&gt;"",N274&lt;&gt;"",O274&lt;&gt;"",P274&lt;&gt;"",Q274&lt;&gt;"",R274&lt;&gt;"",S274&lt;&gt;"",T274&lt;&gt;"",U274&lt;&gt;"",V274&lt;&gt;"",W274&lt;&gt;"",X274&lt;&gt;"",Y274&lt;&gt;"",AC274="UNIQUE"),"READY","CHECK")))</f>
        <v/>
      </c>
    </row>
    <row r="275">
      <c r="A275" s="25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37" t="n"/>
      <c r="K275" s="34" t="n"/>
      <c r="L275" s="26" t="n"/>
      <c r="M275" s="37" t="n"/>
      <c r="N275" s="37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34" t="n"/>
      <c r="Y275" s="26" t="n"/>
      <c r="Z275" s="26" t="n"/>
      <c r="AA275" s="26" t="n"/>
      <c r="AB275" s="27" t="n"/>
      <c r="AC275" s="32">
        <f>IF(A275="","",IF(COUNTIF($H$5:$H$1004,H275)&gt;1,"DUPLICATE","UNIQUE"))</f>
        <v/>
      </c>
      <c r="AD275" s="32">
        <f>IF(A275="","",IF(AA275="Rejected",IF(AB275&lt;&gt;"","REJECTED","ADD REASON"),IF(AND(B275&lt;&gt;"",C275&lt;&gt;"",D275&lt;&gt;"",E275&lt;&gt;"",F275&lt;&gt;"",G275&lt;&gt;"",H275&lt;&gt;"",J275&lt;&gt;"",K275&lt;&gt;"",L275&lt;&gt;"",M275&lt;&gt;"",N275&lt;&gt;"",O275&lt;&gt;"",P275&lt;&gt;"",Q275&lt;&gt;"",R275&lt;&gt;"",S275&lt;&gt;"",T275&lt;&gt;"",U275&lt;&gt;"",V275&lt;&gt;"",W275&lt;&gt;"",X275&lt;&gt;"",Y275&lt;&gt;"",AC275="UNIQUE"),"READY","CHECK")))</f>
        <v/>
      </c>
    </row>
    <row r="276">
      <c r="A276" s="25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37" t="n"/>
      <c r="K276" s="34" t="n"/>
      <c r="L276" s="26" t="n"/>
      <c r="M276" s="37" t="n"/>
      <c r="N276" s="37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34" t="n"/>
      <c r="Y276" s="26" t="n"/>
      <c r="Z276" s="26" t="n"/>
      <c r="AA276" s="26" t="n"/>
      <c r="AB276" s="27" t="n"/>
      <c r="AC276" s="32">
        <f>IF(A276="","",IF(COUNTIF($H$5:$H$1004,H276)&gt;1,"DUPLICATE","UNIQUE"))</f>
        <v/>
      </c>
      <c r="AD276" s="32">
        <f>IF(A276="","",IF(AA276="Rejected",IF(AB276&lt;&gt;"","REJECTED","ADD REASON"),IF(AND(B276&lt;&gt;"",C276&lt;&gt;"",D276&lt;&gt;"",E276&lt;&gt;"",F276&lt;&gt;"",G276&lt;&gt;"",H276&lt;&gt;"",J276&lt;&gt;"",K276&lt;&gt;"",L276&lt;&gt;"",M276&lt;&gt;"",N276&lt;&gt;"",O276&lt;&gt;"",P276&lt;&gt;"",Q276&lt;&gt;"",R276&lt;&gt;"",S276&lt;&gt;"",T276&lt;&gt;"",U276&lt;&gt;"",V276&lt;&gt;"",W276&lt;&gt;"",X276&lt;&gt;"",Y276&lt;&gt;"",AC276="UNIQUE"),"READY","CHECK")))</f>
        <v/>
      </c>
    </row>
    <row r="277">
      <c r="A277" s="25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37" t="n"/>
      <c r="K277" s="34" t="n"/>
      <c r="L277" s="26" t="n"/>
      <c r="M277" s="37" t="n"/>
      <c r="N277" s="37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34" t="n"/>
      <c r="Y277" s="26" t="n"/>
      <c r="Z277" s="26" t="n"/>
      <c r="AA277" s="26" t="n"/>
      <c r="AB277" s="27" t="n"/>
      <c r="AC277" s="32">
        <f>IF(A277="","",IF(COUNTIF($H$5:$H$1004,H277)&gt;1,"DUPLICATE","UNIQUE"))</f>
        <v/>
      </c>
      <c r="AD277" s="32">
        <f>IF(A277="","",IF(AA277="Rejected",IF(AB277&lt;&gt;"","REJECTED","ADD REASON"),IF(AND(B277&lt;&gt;"",C277&lt;&gt;"",D277&lt;&gt;"",E277&lt;&gt;"",F277&lt;&gt;"",G277&lt;&gt;"",H277&lt;&gt;"",J277&lt;&gt;"",K277&lt;&gt;"",L277&lt;&gt;"",M277&lt;&gt;"",N277&lt;&gt;"",O277&lt;&gt;"",P277&lt;&gt;"",Q277&lt;&gt;"",R277&lt;&gt;"",S277&lt;&gt;"",T277&lt;&gt;"",U277&lt;&gt;"",V277&lt;&gt;"",W277&lt;&gt;"",X277&lt;&gt;"",Y277&lt;&gt;"",AC277="UNIQUE"),"READY","CHECK")))</f>
        <v/>
      </c>
    </row>
    <row r="278">
      <c r="A278" s="25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37" t="n"/>
      <c r="K278" s="34" t="n"/>
      <c r="L278" s="26" t="n"/>
      <c r="M278" s="37" t="n"/>
      <c r="N278" s="37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34" t="n"/>
      <c r="Y278" s="26" t="n"/>
      <c r="Z278" s="26" t="n"/>
      <c r="AA278" s="26" t="n"/>
      <c r="AB278" s="27" t="n"/>
      <c r="AC278" s="32">
        <f>IF(A278="","",IF(COUNTIF($H$5:$H$1004,H278)&gt;1,"DUPLICATE","UNIQUE"))</f>
        <v/>
      </c>
      <c r="AD278" s="32">
        <f>IF(A278="","",IF(AA278="Rejected",IF(AB278&lt;&gt;"","REJECTED","ADD REASON"),IF(AND(B278&lt;&gt;"",C278&lt;&gt;"",D278&lt;&gt;"",E278&lt;&gt;"",F278&lt;&gt;"",G278&lt;&gt;"",H278&lt;&gt;"",J278&lt;&gt;"",K278&lt;&gt;"",L278&lt;&gt;"",M278&lt;&gt;"",N278&lt;&gt;"",O278&lt;&gt;"",P278&lt;&gt;"",Q278&lt;&gt;"",R278&lt;&gt;"",S278&lt;&gt;"",T278&lt;&gt;"",U278&lt;&gt;"",V278&lt;&gt;"",W278&lt;&gt;"",X278&lt;&gt;"",Y278&lt;&gt;"",AC278="UNIQUE"),"READY","CHECK")))</f>
        <v/>
      </c>
    </row>
    <row r="279">
      <c r="A279" s="25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37" t="n"/>
      <c r="K279" s="34" t="n"/>
      <c r="L279" s="26" t="n"/>
      <c r="M279" s="37" t="n"/>
      <c r="N279" s="37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34" t="n"/>
      <c r="Y279" s="26" t="n"/>
      <c r="Z279" s="26" t="n"/>
      <c r="AA279" s="26" t="n"/>
      <c r="AB279" s="27" t="n"/>
      <c r="AC279" s="32">
        <f>IF(A279="","",IF(COUNTIF($H$5:$H$1004,H279)&gt;1,"DUPLICATE","UNIQUE"))</f>
        <v/>
      </c>
      <c r="AD279" s="32">
        <f>IF(A279="","",IF(AA279="Rejected",IF(AB279&lt;&gt;"","REJECTED","ADD REASON"),IF(AND(B279&lt;&gt;"",C279&lt;&gt;"",D279&lt;&gt;"",E279&lt;&gt;"",F279&lt;&gt;"",G279&lt;&gt;"",H279&lt;&gt;"",J279&lt;&gt;"",K279&lt;&gt;"",L279&lt;&gt;"",M279&lt;&gt;"",N279&lt;&gt;"",O279&lt;&gt;"",P279&lt;&gt;"",Q279&lt;&gt;"",R279&lt;&gt;"",S279&lt;&gt;"",T279&lt;&gt;"",U279&lt;&gt;"",V279&lt;&gt;"",W279&lt;&gt;"",X279&lt;&gt;"",Y279&lt;&gt;"",AC279="UNIQUE"),"READY","CHECK")))</f>
        <v/>
      </c>
    </row>
    <row r="280">
      <c r="A280" s="25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37" t="n"/>
      <c r="K280" s="34" t="n"/>
      <c r="L280" s="26" t="n"/>
      <c r="M280" s="37" t="n"/>
      <c r="N280" s="37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34" t="n"/>
      <c r="Y280" s="26" t="n"/>
      <c r="Z280" s="26" t="n"/>
      <c r="AA280" s="26" t="n"/>
      <c r="AB280" s="27" t="n"/>
      <c r="AC280" s="32">
        <f>IF(A280="","",IF(COUNTIF($H$5:$H$1004,H280)&gt;1,"DUPLICATE","UNIQUE"))</f>
        <v/>
      </c>
      <c r="AD280" s="32">
        <f>IF(A280="","",IF(AA280="Rejected",IF(AB280&lt;&gt;"","REJECTED","ADD REASON"),IF(AND(B280&lt;&gt;"",C280&lt;&gt;"",D280&lt;&gt;"",E280&lt;&gt;"",F280&lt;&gt;"",G280&lt;&gt;"",H280&lt;&gt;"",J280&lt;&gt;"",K280&lt;&gt;"",L280&lt;&gt;"",M280&lt;&gt;"",N280&lt;&gt;"",O280&lt;&gt;"",P280&lt;&gt;"",Q280&lt;&gt;"",R280&lt;&gt;"",S280&lt;&gt;"",T280&lt;&gt;"",U280&lt;&gt;"",V280&lt;&gt;"",W280&lt;&gt;"",X280&lt;&gt;"",Y280&lt;&gt;"",AC280="UNIQUE"),"READY","CHECK")))</f>
        <v/>
      </c>
    </row>
    <row r="281">
      <c r="A281" s="25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37" t="n"/>
      <c r="K281" s="34" t="n"/>
      <c r="L281" s="26" t="n"/>
      <c r="M281" s="37" t="n"/>
      <c r="N281" s="37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34" t="n"/>
      <c r="Y281" s="26" t="n"/>
      <c r="Z281" s="26" t="n"/>
      <c r="AA281" s="26" t="n"/>
      <c r="AB281" s="27" t="n"/>
      <c r="AC281" s="32">
        <f>IF(A281="","",IF(COUNTIF($H$5:$H$1004,H281)&gt;1,"DUPLICATE","UNIQUE"))</f>
        <v/>
      </c>
      <c r="AD281" s="32">
        <f>IF(A281="","",IF(AA281="Rejected",IF(AB281&lt;&gt;"","REJECTED","ADD REASON"),IF(AND(B281&lt;&gt;"",C281&lt;&gt;"",D281&lt;&gt;"",E281&lt;&gt;"",F281&lt;&gt;"",G281&lt;&gt;"",H281&lt;&gt;"",J281&lt;&gt;"",K281&lt;&gt;"",L281&lt;&gt;"",M281&lt;&gt;"",N281&lt;&gt;"",O281&lt;&gt;"",P281&lt;&gt;"",Q281&lt;&gt;"",R281&lt;&gt;"",S281&lt;&gt;"",T281&lt;&gt;"",U281&lt;&gt;"",V281&lt;&gt;"",W281&lt;&gt;"",X281&lt;&gt;"",Y281&lt;&gt;"",AC281="UNIQUE"),"READY","CHECK")))</f>
        <v/>
      </c>
    </row>
    <row r="282">
      <c r="A282" s="25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37" t="n"/>
      <c r="K282" s="34" t="n"/>
      <c r="L282" s="26" t="n"/>
      <c r="M282" s="37" t="n"/>
      <c r="N282" s="37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34" t="n"/>
      <c r="Y282" s="26" t="n"/>
      <c r="Z282" s="26" t="n"/>
      <c r="AA282" s="26" t="n"/>
      <c r="AB282" s="27" t="n"/>
      <c r="AC282" s="32">
        <f>IF(A282="","",IF(COUNTIF($H$5:$H$1004,H282)&gt;1,"DUPLICATE","UNIQUE"))</f>
        <v/>
      </c>
      <c r="AD282" s="32">
        <f>IF(A282="","",IF(AA282="Rejected",IF(AB282&lt;&gt;"","REJECTED","ADD REASON"),IF(AND(B282&lt;&gt;"",C282&lt;&gt;"",D282&lt;&gt;"",E282&lt;&gt;"",F282&lt;&gt;"",G282&lt;&gt;"",H282&lt;&gt;"",J282&lt;&gt;"",K282&lt;&gt;"",L282&lt;&gt;"",M282&lt;&gt;"",N282&lt;&gt;"",O282&lt;&gt;"",P282&lt;&gt;"",Q282&lt;&gt;"",R282&lt;&gt;"",S282&lt;&gt;"",T282&lt;&gt;"",U282&lt;&gt;"",V282&lt;&gt;"",W282&lt;&gt;"",X282&lt;&gt;"",Y282&lt;&gt;"",AC282="UNIQUE"),"READY","CHECK")))</f>
        <v/>
      </c>
    </row>
    <row r="283">
      <c r="A283" s="25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37" t="n"/>
      <c r="K283" s="34" t="n"/>
      <c r="L283" s="26" t="n"/>
      <c r="M283" s="37" t="n"/>
      <c r="N283" s="37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34" t="n"/>
      <c r="Y283" s="26" t="n"/>
      <c r="Z283" s="26" t="n"/>
      <c r="AA283" s="26" t="n"/>
      <c r="AB283" s="27" t="n"/>
      <c r="AC283" s="32">
        <f>IF(A283="","",IF(COUNTIF($H$5:$H$1004,H283)&gt;1,"DUPLICATE","UNIQUE"))</f>
        <v/>
      </c>
      <c r="AD283" s="32">
        <f>IF(A283="","",IF(AA283="Rejected",IF(AB283&lt;&gt;"","REJECTED","ADD REASON"),IF(AND(B283&lt;&gt;"",C283&lt;&gt;"",D283&lt;&gt;"",E283&lt;&gt;"",F283&lt;&gt;"",G283&lt;&gt;"",H283&lt;&gt;"",J283&lt;&gt;"",K283&lt;&gt;"",L283&lt;&gt;"",M283&lt;&gt;"",N283&lt;&gt;"",O283&lt;&gt;"",P283&lt;&gt;"",Q283&lt;&gt;"",R283&lt;&gt;"",S283&lt;&gt;"",T283&lt;&gt;"",U283&lt;&gt;"",V283&lt;&gt;"",W283&lt;&gt;"",X283&lt;&gt;"",Y283&lt;&gt;"",AC283="UNIQUE"),"READY","CHECK")))</f>
        <v/>
      </c>
    </row>
    <row r="284">
      <c r="A284" s="25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37" t="n"/>
      <c r="K284" s="34" t="n"/>
      <c r="L284" s="26" t="n"/>
      <c r="M284" s="37" t="n"/>
      <c r="N284" s="37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34" t="n"/>
      <c r="Y284" s="26" t="n"/>
      <c r="Z284" s="26" t="n"/>
      <c r="AA284" s="26" t="n"/>
      <c r="AB284" s="27" t="n"/>
      <c r="AC284" s="32">
        <f>IF(A284="","",IF(COUNTIF($H$5:$H$1004,H284)&gt;1,"DUPLICATE","UNIQUE"))</f>
        <v/>
      </c>
      <c r="AD284" s="32">
        <f>IF(A284="","",IF(AA284="Rejected",IF(AB284&lt;&gt;"","REJECTED","ADD REASON"),IF(AND(B284&lt;&gt;"",C284&lt;&gt;"",D284&lt;&gt;"",E284&lt;&gt;"",F284&lt;&gt;"",G284&lt;&gt;"",H284&lt;&gt;"",J284&lt;&gt;"",K284&lt;&gt;"",L284&lt;&gt;"",M284&lt;&gt;"",N284&lt;&gt;"",O284&lt;&gt;"",P284&lt;&gt;"",Q284&lt;&gt;"",R284&lt;&gt;"",S284&lt;&gt;"",T284&lt;&gt;"",U284&lt;&gt;"",V284&lt;&gt;"",W284&lt;&gt;"",X284&lt;&gt;"",Y284&lt;&gt;"",AC284="UNIQUE"),"READY","CHECK")))</f>
        <v/>
      </c>
    </row>
    <row r="285">
      <c r="A285" s="25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37" t="n"/>
      <c r="K285" s="34" t="n"/>
      <c r="L285" s="26" t="n"/>
      <c r="M285" s="37" t="n"/>
      <c r="N285" s="37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34" t="n"/>
      <c r="Y285" s="26" t="n"/>
      <c r="Z285" s="26" t="n"/>
      <c r="AA285" s="26" t="n"/>
      <c r="AB285" s="27" t="n"/>
      <c r="AC285" s="32">
        <f>IF(A285="","",IF(COUNTIF($H$5:$H$1004,H285)&gt;1,"DUPLICATE","UNIQUE"))</f>
        <v/>
      </c>
      <c r="AD285" s="32">
        <f>IF(A285="","",IF(AA285="Rejected",IF(AB285&lt;&gt;"","REJECTED","ADD REASON"),IF(AND(B285&lt;&gt;"",C285&lt;&gt;"",D285&lt;&gt;"",E285&lt;&gt;"",F285&lt;&gt;"",G285&lt;&gt;"",H285&lt;&gt;"",J285&lt;&gt;"",K285&lt;&gt;"",L285&lt;&gt;"",M285&lt;&gt;"",N285&lt;&gt;"",O285&lt;&gt;"",P285&lt;&gt;"",Q285&lt;&gt;"",R285&lt;&gt;"",S285&lt;&gt;"",T285&lt;&gt;"",U285&lt;&gt;"",V285&lt;&gt;"",W285&lt;&gt;"",X285&lt;&gt;"",Y285&lt;&gt;"",AC285="UNIQUE"),"READY","CHECK")))</f>
        <v/>
      </c>
    </row>
    <row r="286">
      <c r="A286" s="25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37" t="n"/>
      <c r="K286" s="34" t="n"/>
      <c r="L286" s="26" t="n"/>
      <c r="M286" s="37" t="n"/>
      <c r="N286" s="37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34" t="n"/>
      <c r="Y286" s="26" t="n"/>
      <c r="Z286" s="26" t="n"/>
      <c r="AA286" s="26" t="n"/>
      <c r="AB286" s="27" t="n"/>
      <c r="AC286" s="32">
        <f>IF(A286="","",IF(COUNTIF($H$5:$H$1004,H286)&gt;1,"DUPLICATE","UNIQUE"))</f>
        <v/>
      </c>
      <c r="AD286" s="32">
        <f>IF(A286="","",IF(AA286="Rejected",IF(AB286&lt;&gt;"","REJECTED","ADD REASON"),IF(AND(B286&lt;&gt;"",C286&lt;&gt;"",D286&lt;&gt;"",E286&lt;&gt;"",F286&lt;&gt;"",G286&lt;&gt;"",H286&lt;&gt;"",J286&lt;&gt;"",K286&lt;&gt;"",L286&lt;&gt;"",M286&lt;&gt;"",N286&lt;&gt;"",O286&lt;&gt;"",P286&lt;&gt;"",Q286&lt;&gt;"",R286&lt;&gt;"",S286&lt;&gt;"",T286&lt;&gt;"",U286&lt;&gt;"",V286&lt;&gt;"",W286&lt;&gt;"",X286&lt;&gt;"",Y286&lt;&gt;"",AC286="UNIQUE"),"READY","CHECK")))</f>
        <v/>
      </c>
    </row>
    <row r="287">
      <c r="A287" s="25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37" t="n"/>
      <c r="K287" s="34" t="n"/>
      <c r="L287" s="26" t="n"/>
      <c r="M287" s="37" t="n"/>
      <c r="N287" s="37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34" t="n"/>
      <c r="Y287" s="26" t="n"/>
      <c r="Z287" s="26" t="n"/>
      <c r="AA287" s="26" t="n"/>
      <c r="AB287" s="27" t="n"/>
      <c r="AC287" s="32">
        <f>IF(A287="","",IF(COUNTIF($H$5:$H$1004,H287)&gt;1,"DUPLICATE","UNIQUE"))</f>
        <v/>
      </c>
      <c r="AD287" s="32">
        <f>IF(A287="","",IF(AA287="Rejected",IF(AB287&lt;&gt;"","REJECTED","ADD REASON"),IF(AND(B287&lt;&gt;"",C287&lt;&gt;"",D287&lt;&gt;"",E287&lt;&gt;"",F287&lt;&gt;"",G287&lt;&gt;"",H287&lt;&gt;"",J287&lt;&gt;"",K287&lt;&gt;"",L287&lt;&gt;"",M287&lt;&gt;"",N287&lt;&gt;"",O287&lt;&gt;"",P287&lt;&gt;"",Q287&lt;&gt;"",R287&lt;&gt;"",S287&lt;&gt;"",T287&lt;&gt;"",U287&lt;&gt;"",V287&lt;&gt;"",W287&lt;&gt;"",X287&lt;&gt;"",Y287&lt;&gt;"",AC287="UNIQUE"),"READY","CHECK")))</f>
        <v/>
      </c>
    </row>
    <row r="288">
      <c r="A288" s="25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37" t="n"/>
      <c r="K288" s="34" t="n"/>
      <c r="L288" s="26" t="n"/>
      <c r="M288" s="37" t="n"/>
      <c r="N288" s="37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34" t="n"/>
      <c r="Y288" s="26" t="n"/>
      <c r="Z288" s="26" t="n"/>
      <c r="AA288" s="26" t="n"/>
      <c r="AB288" s="27" t="n"/>
      <c r="AC288" s="32">
        <f>IF(A288="","",IF(COUNTIF($H$5:$H$1004,H288)&gt;1,"DUPLICATE","UNIQUE"))</f>
        <v/>
      </c>
      <c r="AD288" s="32">
        <f>IF(A288="","",IF(AA288="Rejected",IF(AB288&lt;&gt;"","REJECTED","ADD REASON"),IF(AND(B288&lt;&gt;"",C288&lt;&gt;"",D288&lt;&gt;"",E288&lt;&gt;"",F288&lt;&gt;"",G288&lt;&gt;"",H288&lt;&gt;"",J288&lt;&gt;"",K288&lt;&gt;"",L288&lt;&gt;"",M288&lt;&gt;"",N288&lt;&gt;"",O288&lt;&gt;"",P288&lt;&gt;"",Q288&lt;&gt;"",R288&lt;&gt;"",S288&lt;&gt;"",T288&lt;&gt;"",U288&lt;&gt;"",V288&lt;&gt;"",W288&lt;&gt;"",X288&lt;&gt;"",Y288&lt;&gt;"",AC288="UNIQUE"),"READY","CHECK")))</f>
        <v/>
      </c>
    </row>
    <row r="289">
      <c r="A289" s="25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37" t="n"/>
      <c r="K289" s="34" t="n"/>
      <c r="L289" s="26" t="n"/>
      <c r="M289" s="37" t="n"/>
      <c r="N289" s="37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34" t="n"/>
      <c r="Y289" s="26" t="n"/>
      <c r="Z289" s="26" t="n"/>
      <c r="AA289" s="26" t="n"/>
      <c r="AB289" s="27" t="n"/>
      <c r="AC289" s="32">
        <f>IF(A289="","",IF(COUNTIF($H$5:$H$1004,H289)&gt;1,"DUPLICATE","UNIQUE"))</f>
        <v/>
      </c>
      <c r="AD289" s="32">
        <f>IF(A289="","",IF(AA289="Rejected",IF(AB289&lt;&gt;"","REJECTED","ADD REASON"),IF(AND(B289&lt;&gt;"",C289&lt;&gt;"",D289&lt;&gt;"",E289&lt;&gt;"",F289&lt;&gt;"",G289&lt;&gt;"",H289&lt;&gt;"",J289&lt;&gt;"",K289&lt;&gt;"",L289&lt;&gt;"",M289&lt;&gt;"",N289&lt;&gt;"",O289&lt;&gt;"",P289&lt;&gt;"",Q289&lt;&gt;"",R289&lt;&gt;"",S289&lt;&gt;"",T289&lt;&gt;"",U289&lt;&gt;"",V289&lt;&gt;"",W289&lt;&gt;"",X289&lt;&gt;"",Y289&lt;&gt;"",AC289="UNIQUE"),"READY","CHECK")))</f>
        <v/>
      </c>
    </row>
    <row r="290">
      <c r="A290" s="25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37" t="n"/>
      <c r="K290" s="34" t="n"/>
      <c r="L290" s="26" t="n"/>
      <c r="M290" s="37" t="n"/>
      <c r="N290" s="37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34" t="n"/>
      <c r="Y290" s="26" t="n"/>
      <c r="Z290" s="26" t="n"/>
      <c r="AA290" s="26" t="n"/>
      <c r="AB290" s="27" t="n"/>
      <c r="AC290" s="32">
        <f>IF(A290="","",IF(COUNTIF($H$5:$H$1004,H290)&gt;1,"DUPLICATE","UNIQUE"))</f>
        <v/>
      </c>
      <c r="AD290" s="32">
        <f>IF(A290="","",IF(AA290="Rejected",IF(AB290&lt;&gt;"","REJECTED","ADD REASON"),IF(AND(B290&lt;&gt;"",C290&lt;&gt;"",D290&lt;&gt;"",E290&lt;&gt;"",F290&lt;&gt;"",G290&lt;&gt;"",H290&lt;&gt;"",J290&lt;&gt;"",K290&lt;&gt;"",L290&lt;&gt;"",M290&lt;&gt;"",N290&lt;&gt;"",O290&lt;&gt;"",P290&lt;&gt;"",Q290&lt;&gt;"",R290&lt;&gt;"",S290&lt;&gt;"",T290&lt;&gt;"",U290&lt;&gt;"",V290&lt;&gt;"",W290&lt;&gt;"",X290&lt;&gt;"",Y290&lt;&gt;"",AC290="UNIQUE"),"READY","CHECK")))</f>
        <v/>
      </c>
    </row>
    <row r="291">
      <c r="A291" s="25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37" t="n"/>
      <c r="K291" s="34" t="n"/>
      <c r="L291" s="26" t="n"/>
      <c r="M291" s="37" t="n"/>
      <c r="N291" s="37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34" t="n"/>
      <c r="Y291" s="26" t="n"/>
      <c r="Z291" s="26" t="n"/>
      <c r="AA291" s="26" t="n"/>
      <c r="AB291" s="27" t="n"/>
      <c r="AC291" s="32">
        <f>IF(A291="","",IF(COUNTIF($H$5:$H$1004,H291)&gt;1,"DUPLICATE","UNIQUE"))</f>
        <v/>
      </c>
      <c r="AD291" s="32">
        <f>IF(A291="","",IF(AA291="Rejected",IF(AB291&lt;&gt;"","REJECTED","ADD REASON"),IF(AND(B291&lt;&gt;"",C291&lt;&gt;"",D291&lt;&gt;"",E291&lt;&gt;"",F291&lt;&gt;"",G291&lt;&gt;"",H291&lt;&gt;"",J291&lt;&gt;"",K291&lt;&gt;"",L291&lt;&gt;"",M291&lt;&gt;"",N291&lt;&gt;"",O291&lt;&gt;"",P291&lt;&gt;"",Q291&lt;&gt;"",R291&lt;&gt;"",S291&lt;&gt;"",T291&lt;&gt;"",U291&lt;&gt;"",V291&lt;&gt;"",W291&lt;&gt;"",X291&lt;&gt;"",Y291&lt;&gt;"",AC291="UNIQUE"),"READY","CHECK")))</f>
        <v/>
      </c>
    </row>
    <row r="292">
      <c r="A292" s="25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37" t="n"/>
      <c r="K292" s="34" t="n"/>
      <c r="L292" s="26" t="n"/>
      <c r="M292" s="37" t="n"/>
      <c r="N292" s="37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34" t="n"/>
      <c r="Y292" s="26" t="n"/>
      <c r="Z292" s="26" t="n"/>
      <c r="AA292" s="26" t="n"/>
      <c r="AB292" s="27" t="n"/>
      <c r="AC292" s="32">
        <f>IF(A292="","",IF(COUNTIF($H$5:$H$1004,H292)&gt;1,"DUPLICATE","UNIQUE"))</f>
        <v/>
      </c>
      <c r="AD292" s="32">
        <f>IF(A292="","",IF(AA292="Rejected",IF(AB292&lt;&gt;"","REJECTED","ADD REASON"),IF(AND(B292&lt;&gt;"",C292&lt;&gt;"",D292&lt;&gt;"",E292&lt;&gt;"",F292&lt;&gt;"",G292&lt;&gt;"",H292&lt;&gt;"",J292&lt;&gt;"",K292&lt;&gt;"",L292&lt;&gt;"",M292&lt;&gt;"",N292&lt;&gt;"",O292&lt;&gt;"",P292&lt;&gt;"",Q292&lt;&gt;"",R292&lt;&gt;"",S292&lt;&gt;"",T292&lt;&gt;"",U292&lt;&gt;"",V292&lt;&gt;"",W292&lt;&gt;"",X292&lt;&gt;"",Y292&lt;&gt;"",AC292="UNIQUE"),"READY","CHECK")))</f>
        <v/>
      </c>
    </row>
    <row r="293">
      <c r="A293" s="25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37" t="n"/>
      <c r="K293" s="34" t="n"/>
      <c r="L293" s="26" t="n"/>
      <c r="M293" s="37" t="n"/>
      <c r="N293" s="37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34" t="n"/>
      <c r="Y293" s="26" t="n"/>
      <c r="Z293" s="26" t="n"/>
      <c r="AA293" s="26" t="n"/>
      <c r="AB293" s="27" t="n"/>
      <c r="AC293" s="32">
        <f>IF(A293="","",IF(COUNTIF($H$5:$H$1004,H293)&gt;1,"DUPLICATE","UNIQUE"))</f>
        <v/>
      </c>
      <c r="AD293" s="32">
        <f>IF(A293="","",IF(AA293="Rejected",IF(AB293&lt;&gt;"","REJECTED","ADD REASON"),IF(AND(B293&lt;&gt;"",C293&lt;&gt;"",D293&lt;&gt;"",E293&lt;&gt;"",F293&lt;&gt;"",G293&lt;&gt;"",H293&lt;&gt;"",J293&lt;&gt;"",K293&lt;&gt;"",L293&lt;&gt;"",M293&lt;&gt;"",N293&lt;&gt;"",O293&lt;&gt;"",P293&lt;&gt;"",Q293&lt;&gt;"",R293&lt;&gt;"",S293&lt;&gt;"",T293&lt;&gt;"",U293&lt;&gt;"",V293&lt;&gt;"",W293&lt;&gt;"",X293&lt;&gt;"",Y293&lt;&gt;"",AC293="UNIQUE"),"READY","CHECK")))</f>
        <v/>
      </c>
    </row>
    <row r="294">
      <c r="A294" s="25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37" t="n"/>
      <c r="K294" s="34" t="n"/>
      <c r="L294" s="26" t="n"/>
      <c r="M294" s="37" t="n"/>
      <c r="N294" s="37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34" t="n"/>
      <c r="Y294" s="26" t="n"/>
      <c r="Z294" s="26" t="n"/>
      <c r="AA294" s="26" t="n"/>
      <c r="AB294" s="27" t="n"/>
      <c r="AC294" s="32">
        <f>IF(A294="","",IF(COUNTIF($H$5:$H$1004,H294)&gt;1,"DUPLICATE","UNIQUE"))</f>
        <v/>
      </c>
      <c r="AD294" s="32">
        <f>IF(A294="","",IF(AA294="Rejected",IF(AB294&lt;&gt;"","REJECTED","ADD REASON"),IF(AND(B294&lt;&gt;"",C294&lt;&gt;"",D294&lt;&gt;"",E294&lt;&gt;"",F294&lt;&gt;"",G294&lt;&gt;"",H294&lt;&gt;"",J294&lt;&gt;"",K294&lt;&gt;"",L294&lt;&gt;"",M294&lt;&gt;"",N294&lt;&gt;"",O294&lt;&gt;"",P294&lt;&gt;"",Q294&lt;&gt;"",R294&lt;&gt;"",S294&lt;&gt;"",T294&lt;&gt;"",U294&lt;&gt;"",V294&lt;&gt;"",W294&lt;&gt;"",X294&lt;&gt;"",Y294&lt;&gt;"",AC294="UNIQUE"),"READY","CHECK")))</f>
        <v/>
      </c>
    </row>
    <row r="295">
      <c r="A295" s="25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37" t="n"/>
      <c r="K295" s="34" t="n"/>
      <c r="L295" s="26" t="n"/>
      <c r="M295" s="37" t="n"/>
      <c r="N295" s="37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34" t="n"/>
      <c r="Y295" s="26" t="n"/>
      <c r="Z295" s="26" t="n"/>
      <c r="AA295" s="26" t="n"/>
      <c r="AB295" s="27" t="n"/>
      <c r="AC295" s="32">
        <f>IF(A295="","",IF(COUNTIF($H$5:$H$1004,H295)&gt;1,"DUPLICATE","UNIQUE"))</f>
        <v/>
      </c>
      <c r="AD295" s="32">
        <f>IF(A295="","",IF(AA295="Rejected",IF(AB295&lt;&gt;"","REJECTED","ADD REASON"),IF(AND(B295&lt;&gt;"",C295&lt;&gt;"",D295&lt;&gt;"",E295&lt;&gt;"",F295&lt;&gt;"",G295&lt;&gt;"",H295&lt;&gt;"",J295&lt;&gt;"",K295&lt;&gt;"",L295&lt;&gt;"",M295&lt;&gt;"",N295&lt;&gt;"",O295&lt;&gt;"",P295&lt;&gt;"",Q295&lt;&gt;"",R295&lt;&gt;"",S295&lt;&gt;"",T295&lt;&gt;"",U295&lt;&gt;"",V295&lt;&gt;"",W295&lt;&gt;"",X295&lt;&gt;"",Y295&lt;&gt;"",AC295="UNIQUE"),"READY","CHECK")))</f>
        <v/>
      </c>
    </row>
    <row r="296">
      <c r="A296" s="25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37" t="n"/>
      <c r="K296" s="34" t="n"/>
      <c r="L296" s="26" t="n"/>
      <c r="M296" s="37" t="n"/>
      <c r="N296" s="37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34" t="n"/>
      <c r="Y296" s="26" t="n"/>
      <c r="Z296" s="26" t="n"/>
      <c r="AA296" s="26" t="n"/>
      <c r="AB296" s="27" t="n"/>
      <c r="AC296" s="32">
        <f>IF(A296="","",IF(COUNTIF($H$5:$H$1004,H296)&gt;1,"DUPLICATE","UNIQUE"))</f>
        <v/>
      </c>
      <c r="AD296" s="32">
        <f>IF(A296="","",IF(AA296="Rejected",IF(AB296&lt;&gt;"","REJECTED","ADD REASON"),IF(AND(B296&lt;&gt;"",C296&lt;&gt;"",D296&lt;&gt;"",E296&lt;&gt;"",F296&lt;&gt;"",G296&lt;&gt;"",H296&lt;&gt;"",J296&lt;&gt;"",K296&lt;&gt;"",L296&lt;&gt;"",M296&lt;&gt;"",N296&lt;&gt;"",O296&lt;&gt;"",P296&lt;&gt;"",Q296&lt;&gt;"",R296&lt;&gt;"",S296&lt;&gt;"",T296&lt;&gt;"",U296&lt;&gt;"",V296&lt;&gt;"",W296&lt;&gt;"",X296&lt;&gt;"",Y296&lt;&gt;"",AC296="UNIQUE"),"READY","CHECK")))</f>
        <v/>
      </c>
    </row>
    <row r="297">
      <c r="A297" s="25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37" t="n"/>
      <c r="K297" s="34" t="n"/>
      <c r="L297" s="26" t="n"/>
      <c r="M297" s="37" t="n"/>
      <c r="N297" s="37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34" t="n"/>
      <c r="Y297" s="26" t="n"/>
      <c r="Z297" s="26" t="n"/>
      <c r="AA297" s="26" t="n"/>
      <c r="AB297" s="27" t="n"/>
      <c r="AC297" s="32">
        <f>IF(A297="","",IF(COUNTIF($H$5:$H$1004,H297)&gt;1,"DUPLICATE","UNIQUE"))</f>
        <v/>
      </c>
      <c r="AD297" s="32">
        <f>IF(A297="","",IF(AA297="Rejected",IF(AB297&lt;&gt;"","REJECTED","ADD REASON"),IF(AND(B297&lt;&gt;"",C297&lt;&gt;"",D297&lt;&gt;"",E297&lt;&gt;"",F297&lt;&gt;"",G297&lt;&gt;"",H297&lt;&gt;"",J297&lt;&gt;"",K297&lt;&gt;"",L297&lt;&gt;"",M297&lt;&gt;"",N297&lt;&gt;"",O297&lt;&gt;"",P297&lt;&gt;"",Q297&lt;&gt;"",R297&lt;&gt;"",S297&lt;&gt;"",T297&lt;&gt;"",U297&lt;&gt;"",V297&lt;&gt;"",W297&lt;&gt;"",X297&lt;&gt;"",Y297&lt;&gt;"",AC297="UNIQUE"),"READY","CHECK")))</f>
        <v/>
      </c>
    </row>
    <row r="298">
      <c r="A298" s="25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37" t="n"/>
      <c r="K298" s="34" t="n"/>
      <c r="L298" s="26" t="n"/>
      <c r="M298" s="37" t="n"/>
      <c r="N298" s="37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34" t="n"/>
      <c r="Y298" s="26" t="n"/>
      <c r="Z298" s="26" t="n"/>
      <c r="AA298" s="26" t="n"/>
      <c r="AB298" s="27" t="n"/>
      <c r="AC298" s="32">
        <f>IF(A298="","",IF(COUNTIF($H$5:$H$1004,H298)&gt;1,"DUPLICATE","UNIQUE"))</f>
        <v/>
      </c>
      <c r="AD298" s="32">
        <f>IF(A298="","",IF(AA298="Rejected",IF(AB298&lt;&gt;"","REJECTED","ADD REASON"),IF(AND(B298&lt;&gt;"",C298&lt;&gt;"",D298&lt;&gt;"",E298&lt;&gt;"",F298&lt;&gt;"",G298&lt;&gt;"",H298&lt;&gt;"",J298&lt;&gt;"",K298&lt;&gt;"",L298&lt;&gt;"",M298&lt;&gt;"",N298&lt;&gt;"",O298&lt;&gt;"",P298&lt;&gt;"",Q298&lt;&gt;"",R298&lt;&gt;"",S298&lt;&gt;"",T298&lt;&gt;"",U298&lt;&gt;"",V298&lt;&gt;"",W298&lt;&gt;"",X298&lt;&gt;"",Y298&lt;&gt;"",AC298="UNIQUE"),"READY","CHECK")))</f>
        <v/>
      </c>
    </row>
    <row r="299">
      <c r="A299" s="25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37" t="n"/>
      <c r="K299" s="34" t="n"/>
      <c r="L299" s="26" t="n"/>
      <c r="M299" s="37" t="n"/>
      <c r="N299" s="37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34" t="n"/>
      <c r="Y299" s="26" t="n"/>
      <c r="Z299" s="26" t="n"/>
      <c r="AA299" s="26" t="n"/>
      <c r="AB299" s="27" t="n"/>
      <c r="AC299" s="32">
        <f>IF(A299="","",IF(COUNTIF($H$5:$H$1004,H299)&gt;1,"DUPLICATE","UNIQUE"))</f>
        <v/>
      </c>
      <c r="AD299" s="32">
        <f>IF(A299="","",IF(AA299="Rejected",IF(AB299&lt;&gt;"","REJECTED","ADD REASON"),IF(AND(B299&lt;&gt;"",C299&lt;&gt;"",D299&lt;&gt;"",E299&lt;&gt;"",F299&lt;&gt;"",G299&lt;&gt;"",H299&lt;&gt;"",J299&lt;&gt;"",K299&lt;&gt;"",L299&lt;&gt;"",M299&lt;&gt;"",N299&lt;&gt;"",O299&lt;&gt;"",P299&lt;&gt;"",Q299&lt;&gt;"",R299&lt;&gt;"",S299&lt;&gt;"",T299&lt;&gt;"",U299&lt;&gt;"",V299&lt;&gt;"",W299&lt;&gt;"",X299&lt;&gt;"",Y299&lt;&gt;"",AC299="UNIQUE"),"READY","CHECK")))</f>
        <v/>
      </c>
    </row>
    <row r="300">
      <c r="A300" s="25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37" t="n"/>
      <c r="K300" s="34" t="n"/>
      <c r="L300" s="26" t="n"/>
      <c r="M300" s="37" t="n"/>
      <c r="N300" s="37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34" t="n"/>
      <c r="Y300" s="26" t="n"/>
      <c r="Z300" s="26" t="n"/>
      <c r="AA300" s="26" t="n"/>
      <c r="AB300" s="27" t="n"/>
      <c r="AC300" s="32">
        <f>IF(A300="","",IF(COUNTIF($H$5:$H$1004,H300)&gt;1,"DUPLICATE","UNIQUE"))</f>
        <v/>
      </c>
      <c r="AD300" s="32">
        <f>IF(A300="","",IF(AA300="Rejected",IF(AB300&lt;&gt;"","REJECTED","ADD REASON"),IF(AND(B300&lt;&gt;"",C300&lt;&gt;"",D300&lt;&gt;"",E300&lt;&gt;"",F300&lt;&gt;"",G300&lt;&gt;"",H300&lt;&gt;"",J300&lt;&gt;"",K300&lt;&gt;"",L300&lt;&gt;"",M300&lt;&gt;"",N300&lt;&gt;"",O300&lt;&gt;"",P300&lt;&gt;"",Q300&lt;&gt;"",R300&lt;&gt;"",S300&lt;&gt;"",T300&lt;&gt;"",U300&lt;&gt;"",V300&lt;&gt;"",W300&lt;&gt;"",X300&lt;&gt;"",Y300&lt;&gt;"",AC300="UNIQUE"),"READY","CHECK")))</f>
        <v/>
      </c>
    </row>
    <row r="301">
      <c r="A301" s="25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37" t="n"/>
      <c r="K301" s="34" t="n"/>
      <c r="L301" s="26" t="n"/>
      <c r="M301" s="37" t="n"/>
      <c r="N301" s="37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34" t="n"/>
      <c r="Y301" s="26" t="n"/>
      <c r="Z301" s="26" t="n"/>
      <c r="AA301" s="26" t="n"/>
      <c r="AB301" s="27" t="n"/>
      <c r="AC301" s="32">
        <f>IF(A301="","",IF(COUNTIF($H$5:$H$1004,H301)&gt;1,"DUPLICATE","UNIQUE"))</f>
        <v/>
      </c>
      <c r="AD301" s="32">
        <f>IF(A301="","",IF(AA301="Rejected",IF(AB301&lt;&gt;"","REJECTED","ADD REASON"),IF(AND(B301&lt;&gt;"",C301&lt;&gt;"",D301&lt;&gt;"",E301&lt;&gt;"",F301&lt;&gt;"",G301&lt;&gt;"",H301&lt;&gt;"",J301&lt;&gt;"",K301&lt;&gt;"",L301&lt;&gt;"",M301&lt;&gt;"",N301&lt;&gt;"",O301&lt;&gt;"",P301&lt;&gt;"",Q301&lt;&gt;"",R301&lt;&gt;"",S301&lt;&gt;"",T301&lt;&gt;"",U301&lt;&gt;"",V301&lt;&gt;"",W301&lt;&gt;"",X301&lt;&gt;"",Y301&lt;&gt;"",AC301="UNIQUE"),"READY","CHECK")))</f>
        <v/>
      </c>
    </row>
    <row r="302">
      <c r="A302" s="25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37" t="n"/>
      <c r="K302" s="34" t="n"/>
      <c r="L302" s="26" t="n"/>
      <c r="M302" s="37" t="n"/>
      <c r="N302" s="37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34" t="n"/>
      <c r="Y302" s="26" t="n"/>
      <c r="Z302" s="26" t="n"/>
      <c r="AA302" s="26" t="n"/>
      <c r="AB302" s="27" t="n"/>
      <c r="AC302" s="32">
        <f>IF(A302="","",IF(COUNTIF($H$5:$H$1004,H302)&gt;1,"DUPLICATE","UNIQUE"))</f>
        <v/>
      </c>
      <c r="AD302" s="32">
        <f>IF(A302="","",IF(AA302="Rejected",IF(AB302&lt;&gt;"","REJECTED","ADD REASON"),IF(AND(B302&lt;&gt;"",C302&lt;&gt;"",D302&lt;&gt;"",E302&lt;&gt;"",F302&lt;&gt;"",G302&lt;&gt;"",H302&lt;&gt;"",J302&lt;&gt;"",K302&lt;&gt;"",L302&lt;&gt;"",M302&lt;&gt;"",N302&lt;&gt;"",O302&lt;&gt;"",P302&lt;&gt;"",Q302&lt;&gt;"",R302&lt;&gt;"",S302&lt;&gt;"",T302&lt;&gt;"",U302&lt;&gt;"",V302&lt;&gt;"",W302&lt;&gt;"",X302&lt;&gt;"",Y302&lt;&gt;"",AC302="UNIQUE"),"READY","CHECK")))</f>
        <v/>
      </c>
    </row>
    <row r="303">
      <c r="A303" s="25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37" t="n"/>
      <c r="K303" s="34" t="n"/>
      <c r="L303" s="26" t="n"/>
      <c r="M303" s="37" t="n"/>
      <c r="N303" s="37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34" t="n"/>
      <c r="Y303" s="26" t="n"/>
      <c r="Z303" s="26" t="n"/>
      <c r="AA303" s="26" t="n"/>
      <c r="AB303" s="27" t="n"/>
      <c r="AC303" s="32">
        <f>IF(A303="","",IF(COUNTIF($H$5:$H$1004,H303)&gt;1,"DUPLICATE","UNIQUE"))</f>
        <v/>
      </c>
      <c r="AD303" s="32">
        <f>IF(A303="","",IF(AA303="Rejected",IF(AB303&lt;&gt;"","REJECTED","ADD REASON"),IF(AND(B303&lt;&gt;"",C303&lt;&gt;"",D303&lt;&gt;"",E303&lt;&gt;"",F303&lt;&gt;"",G303&lt;&gt;"",H303&lt;&gt;"",J303&lt;&gt;"",K303&lt;&gt;"",L303&lt;&gt;"",M303&lt;&gt;"",N303&lt;&gt;"",O303&lt;&gt;"",P303&lt;&gt;"",Q303&lt;&gt;"",R303&lt;&gt;"",S303&lt;&gt;"",T303&lt;&gt;"",U303&lt;&gt;"",V303&lt;&gt;"",W303&lt;&gt;"",X303&lt;&gt;"",Y303&lt;&gt;"",AC303="UNIQUE"),"READY","CHECK")))</f>
        <v/>
      </c>
    </row>
    <row r="304">
      <c r="A304" s="25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37" t="n"/>
      <c r="K304" s="34" t="n"/>
      <c r="L304" s="26" t="n"/>
      <c r="M304" s="37" t="n"/>
      <c r="N304" s="37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34" t="n"/>
      <c r="Y304" s="26" t="n"/>
      <c r="Z304" s="26" t="n"/>
      <c r="AA304" s="26" t="n"/>
      <c r="AB304" s="27" t="n"/>
      <c r="AC304" s="32">
        <f>IF(A304="","",IF(COUNTIF($H$5:$H$1004,H304)&gt;1,"DUPLICATE","UNIQUE"))</f>
        <v/>
      </c>
      <c r="AD304" s="32">
        <f>IF(A304="","",IF(AA304="Rejected",IF(AB304&lt;&gt;"","REJECTED","ADD REASON"),IF(AND(B304&lt;&gt;"",C304&lt;&gt;"",D304&lt;&gt;"",E304&lt;&gt;"",F304&lt;&gt;"",G304&lt;&gt;"",H304&lt;&gt;"",J304&lt;&gt;"",K304&lt;&gt;"",L304&lt;&gt;"",M304&lt;&gt;"",N304&lt;&gt;"",O304&lt;&gt;"",P304&lt;&gt;"",Q304&lt;&gt;"",R304&lt;&gt;"",S304&lt;&gt;"",T304&lt;&gt;"",U304&lt;&gt;"",V304&lt;&gt;"",W304&lt;&gt;"",X304&lt;&gt;"",Y304&lt;&gt;"",AC304="UNIQUE"),"READY","CHECK")))</f>
        <v/>
      </c>
    </row>
    <row r="305">
      <c r="A305" s="25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37" t="n"/>
      <c r="K305" s="34" t="n"/>
      <c r="L305" s="26" t="n"/>
      <c r="M305" s="37" t="n"/>
      <c r="N305" s="37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34" t="n"/>
      <c r="Y305" s="26" t="n"/>
      <c r="Z305" s="26" t="n"/>
      <c r="AA305" s="26" t="n"/>
      <c r="AB305" s="27" t="n"/>
      <c r="AC305" s="32">
        <f>IF(A305="","",IF(COUNTIF($H$5:$H$1004,H305)&gt;1,"DUPLICATE","UNIQUE"))</f>
        <v/>
      </c>
      <c r="AD305" s="32">
        <f>IF(A305="","",IF(AA305="Rejected",IF(AB305&lt;&gt;"","REJECTED","ADD REASON"),IF(AND(B305&lt;&gt;"",C305&lt;&gt;"",D305&lt;&gt;"",E305&lt;&gt;"",F305&lt;&gt;"",G305&lt;&gt;"",H305&lt;&gt;"",J305&lt;&gt;"",K305&lt;&gt;"",L305&lt;&gt;"",M305&lt;&gt;"",N305&lt;&gt;"",O305&lt;&gt;"",P305&lt;&gt;"",Q305&lt;&gt;"",R305&lt;&gt;"",S305&lt;&gt;"",T305&lt;&gt;"",U305&lt;&gt;"",V305&lt;&gt;"",W305&lt;&gt;"",X305&lt;&gt;"",Y305&lt;&gt;"",AC305="UNIQUE"),"READY","CHECK")))</f>
        <v/>
      </c>
    </row>
    <row r="306">
      <c r="A306" s="25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37" t="n"/>
      <c r="K306" s="34" t="n"/>
      <c r="L306" s="26" t="n"/>
      <c r="M306" s="37" t="n"/>
      <c r="N306" s="37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34" t="n"/>
      <c r="Y306" s="26" t="n"/>
      <c r="Z306" s="26" t="n"/>
      <c r="AA306" s="26" t="n"/>
      <c r="AB306" s="27" t="n"/>
      <c r="AC306" s="32">
        <f>IF(A306="","",IF(COUNTIF($H$5:$H$1004,H306)&gt;1,"DUPLICATE","UNIQUE"))</f>
        <v/>
      </c>
      <c r="AD306" s="32">
        <f>IF(A306="","",IF(AA306="Rejected",IF(AB306&lt;&gt;"","REJECTED","ADD REASON"),IF(AND(B306&lt;&gt;"",C306&lt;&gt;"",D306&lt;&gt;"",E306&lt;&gt;"",F306&lt;&gt;"",G306&lt;&gt;"",H306&lt;&gt;"",J306&lt;&gt;"",K306&lt;&gt;"",L306&lt;&gt;"",M306&lt;&gt;"",N306&lt;&gt;"",O306&lt;&gt;"",P306&lt;&gt;"",Q306&lt;&gt;"",R306&lt;&gt;"",S306&lt;&gt;"",T306&lt;&gt;"",U306&lt;&gt;"",V306&lt;&gt;"",W306&lt;&gt;"",X306&lt;&gt;"",Y306&lt;&gt;"",AC306="UNIQUE"),"READY","CHECK")))</f>
        <v/>
      </c>
    </row>
    <row r="307">
      <c r="A307" s="25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37" t="n"/>
      <c r="K307" s="34" t="n"/>
      <c r="L307" s="26" t="n"/>
      <c r="M307" s="37" t="n"/>
      <c r="N307" s="37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34" t="n"/>
      <c r="Y307" s="26" t="n"/>
      <c r="Z307" s="26" t="n"/>
      <c r="AA307" s="26" t="n"/>
      <c r="AB307" s="27" t="n"/>
      <c r="AC307" s="32">
        <f>IF(A307="","",IF(COUNTIF($H$5:$H$1004,H307)&gt;1,"DUPLICATE","UNIQUE"))</f>
        <v/>
      </c>
      <c r="AD307" s="32">
        <f>IF(A307="","",IF(AA307="Rejected",IF(AB307&lt;&gt;"","REJECTED","ADD REASON"),IF(AND(B307&lt;&gt;"",C307&lt;&gt;"",D307&lt;&gt;"",E307&lt;&gt;"",F307&lt;&gt;"",G307&lt;&gt;"",H307&lt;&gt;"",J307&lt;&gt;"",K307&lt;&gt;"",L307&lt;&gt;"",M307&lt;&gt;"",N307&lt;&gt;"",O307&lt;&gt;"",P307&lt;&gt;"",Q307&lt;&gt;"",R307&lt;&gt;"",S307&lt;&gt;"",T307&lt;&gt;"",U307&lt;&gt;"",V307&lt;&gt;"",W307&lt;&gt;"",X307&lt;&gt;"",Y307&lt;&gt;"",AC307="UNIQUE"),"READY","CHECK")))</f>
        <v/>
      </c>
    </row>
    <row r="308">
      <c r="A308" s="25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37" t="n"/>
      <c r="K308" s="34" t="n"/>
      <c r="L308" s="26" t="n"/>
      <c r="M308" s="37" t="n"/>
      <c r="N308" s="37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34" t="n"/>
      <c r="Y308" s="26" t="n"/>
      <c r="Z308" s="26" t="n"/>
      <c r="AA308" s="26" t="n"/>
      <c r="AB308" s="27" t="n"/>
      <c r="AC308" s="32">
        <f>IF(A308="","",IF(COUNTIF($H$5:$H$1004,H308)&gt;1,"DUPLICATE","UNIQUE"))</f>
        <v/>
      </c>
      <c r="AD308" s="32">
        <f>IF(A308="","",IF(AA308="Rejected",IF(AB308&lt;&gt;"","REJECTED","ADD REASON"),IF(AND(B308&lt;&gt;"",C308&lt;&gt;"",D308&lt;&gt;"",E308&lt;&gt;"",F308&lt;&gt;"",G308&lt;&gt;"",H308&lt;&gt;"",J308&lt;&gt;"",K308&lt;&gt;"",L308&lt;&gt;"",M308&lt;&gt;"",N308&lt;&gt;"",O308&lt;&gt;"",P308&lt;&gt;"",Q308&lt;&gt;"",R308&lt;&gt;"",S308&lt;&gt;"",T308&lt;&gt;"",U308&lt;&gt;"",V308&lt;&gt;"",W308&lt;&gt;"",X308&lt;&gt;"",Y308&lt;&gt;"",AC308="UNIQUE"),"READY","CHECK")))</f>
        <v/>
      </c>
    </row>
    <row r="309">
      <c r="A309" s="25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37" t="n"/>
      <c r="K309" s="34" t="n"/>
      <c r="L309" s="26" t="n"/>
      <c r="M309" s="37" t="n"/>
      <c r="N309" s="37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34" t="n"/>
      <c r="Y309" s="26" t="n"/>
      <c r="Z309" s="26" t="n"/>
      <c r="AA309" s="26" t="n"/>
      <c r="AB309" s="27" t="n"/>
      <c r="AC309" s="32">
        <f>IF(A309="","",IF(COUNTIF($H$5:$H$1004,H309)&gt;1,"DUPLICATE","UNIQUE"))</f>
        <v/>
      </c>
      <c r="AD309" s="32">
        <f>IF(A309="","",IF(AA309="Rejected",IF(AB309&lt;&gt;"","REJECTED","ADD REASON"),IF(AND(B309&lt;&gt;"",C309&lt;&gt;"",D309&lt;&gt;"",E309&lt;&gt;"",F309&lt;&gt;"",G309&lt;&gt;"",H309&lt;&gt;"",J309&lt;&gt;"",K309&lt;&gt;"",L309&lt;&gt;"",M309&lt;&gt;"",N309&lt;&gt;"",O309&lt;&gt;"",P309&lt;&gt;"",Q309&lt;&gt;"",R309&lt;&gt;"",S309&lt;&gt;"",T309&lt;&gt;"",U309&lt;&gt;"",V309&lt;&gt;"",W309&lt;&gt;"",X309&lt;&gt;"",Y309&lt;&gt;"",AC309="UNIQUE"),"READY","CHECK")))</f>
        <v/>
      </c>
    </row>
    <row r="310">
      <c r="A310" s="25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37" t="n"/>
      <c r="K310" s="34" t="n"/>
      <c r="L310" s="26" t="n"/>
      <c r="M310" s="37" t="n"/>
      <c r="N310" s="37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34" t="n"/>
      <c r="Y310" s="26" t="n"/>
      <c r="Z310" s="26" t="n"/>
      <c r="AA310" s="26" t="n"/>
      <c r="AB310" s="27" t="n"/>
      <c r="AC310" s="32">
        <f>IF(A310="","",IF(COUNTIF($H$5:$H$1004,H310)&gt;1,"DUPLICATE","UNIQUE"))</f>
        <v/>
      </c>
      <c r="AD310" s="32">
        <f>IF(A310="","",IF(AA310="Rejected",IF(AB310&lt;&gt;"","REJECTED","ADD REASON"),IF(AND(B310&lt;&gt;"",C310&lt;&gt;"",D310&lt;&gt;"",E310&lt;&gt;"",F310&lt;&gt;"",G310&lt;&gt;"",H310&lt;&gt;"",J310&lt;&gt;"",K310&lt;&gt;"",L310&lt;&gt;"",M310&lt;&gt;"",N310&lt;&gt;"",O310&lt;&gt;"",P310&lt;&gt;"",Q310&lt;&gt;"",R310&lt;&gt;"",S310&lt;&gt;"",T310&lt;&gt;"",U310&lt;&gt;"",V310&lt;&gt;"",W310&lt;&gt;"",X310&lt;&gt;"",Y310&lt;&gt;"",AC310="UNIQUE"),"READY","CHECK")))</f>
        <v/>
      </c>
    </row>
    <row r="311">
      <c r="A311" s="25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37" t="n"/>
      <c r="K311" s="34" t="n"/>
      <c r="L311" s="26" t="n"/>
      <c r="M311" s="37" t="n"/>
      <c r="N311" s="37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34" t="n"/>
      <c r="Y311" s="26" t="n"/>
      <c r="Z311" s="26" t="n"/>
      <c r="AA311" s="26" t="n"/>
      <c r="AB311" s="27" t="n"/>
      <c r="AC311" s="32">
        <f>IF(A311="","",IF(COUNTIF($H$5:$H$1004,H311)&gt;1,"DUPLICATE","UNIQUE"))</f>
        <v/>
      </c>
      <c r="AD311" s="32">
        <f>IF(A311="","",IF(AA311="Rejected",IF(AB311&lt;&gt;"","REJECTED","ADD REASON"),IF(AND(B311&lt;&gt;"",C311&lt;&gt;"",D311&lt;&gt;"",E311&lt;&gt;"",F311&lt;&gt;"",G311&lt;&gt;"",H311&lt;&gt;"",J311&lt;&gt;"",K311&lt;&gt;"",L311&lt;&gt;"",M311&lt;&gt;"",N311&lt;&gt;"",O311&lt;&gt;"",P311&lt;&gt;"",Q311&lt;&gt;"",R311&lt;&gt;"",S311&lt;&gt;"",T311&lt;&gt;"",U311&lt;&gt;"",V311&lt;&gt;"",W311&lt;&gt;"",X311&lt;&gt;"",Y311&lt;&gt;"",AC311="UNIQUE"),"READY","CHECK")))</f>
        <v/>
      </c>
    </row>
    <row r="312">
      <c r="A312" s="25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37" t="n"/>
      <c r="K312" s="34" t="n"/>
      <c r="L312" s="26" t="n"/>
      <c r="M312" s="37" t="n"/>
      <c r="N312" s="37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34" t="n"/>
      <c r="Y312" s="26" t="n"/>
      <c r="Z312" s="26" t="n"/>
      <c r="AA312" s="26" t="n"/>
      <c r="AB312" s="27" t="n"/>
      <c r="AC312" s="32">
        <f>IF(A312="","",IF(COUNTIF($H$5:$H$1004,H312)&gt;1,"DUPLICATE","UNIQUE"))</f>
        <v/>
      </c>
      <c r="AD312" s="32">
        <f>IF(A312="","",IF(AA312="Rejected",IF(AB312&lt;&gt;"","REJECTED","ADD REASON"),IF(AND(B312&lt;&gt;"",C312&lt;&gt;"",D312&lt;&gt;"",E312&lt;&gt;"",F312&lt;&gt;"",G312&lt;&gt;"",H312&lt;&gt;"",J312&lt;&gt;"",K312&lt;&gt;"",L312&lt;&gt;"",M312&lt;&gt;"",N312&lt;&gt;"",O312&lt;&gt;"",P312&lt;&gt;"",Q312&lt;&gt;"",R312&lt;&gt;"",S312&lt;&gt;"",T312&lt;&gt;"",U312&lt;&gt;"",V312&lt;&gt;"",W312&lt;&gt;"",X312&lt;&gt;"",Y312&lt;&gt;"",AC312="UNIQUE"),"READY","CHECK")))</f>
        <v/>
      </c>
    </row>
    <row r="313">
      <c r="A313" s="25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37" t="n"/>
      <c r="K313" s="34" t="n"/>
      <c r="L313" s="26" t="n"/>
      <c r="M313" s="37" t="n"/>
      <c r="N313" s="37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34" t="n"/>
      <c r="Y313" s="26" t="n"/>
      <c r="Z313" s="26" t="n"/>
      <c r="AA313" s="26" t="n"/>
      <c r="AB313" s="27" t="n"/>
      <c r="AC313" s="32">
        <f>IF(A313="","",IF(COUNTIF($H$5:$H$1004,H313)&gt;1,"DUPLICATE","UNIQUE"))</f>
        <v/>
      </c>
      <c r="AD313" s="32">
        <f>IF(A313="","",IF(AA313="Rejected",IF(AB313&lt;&gt;"","REJECTED","ADD REASON"),IF(AND(B313&lt;&gt;"",C313&lt;&gt;"",D313&lt;&gt;"",E313&lt;&gt;"",F313&lt;&gt;"",G313&lt;&gt;"",H313&lt;&gt;"",J313&lt;&gt;"",K313&lt;&gt;"",L313&lt;&gt;"",M313&lt;&gt;"",N313&lt;&gt;"",O313&lt;&gt;"",P313&lt;&gt;"",Q313&lt;&gt;"",R313&lt;&gt;"",S313&lt;&gt;"",T313&lt;&gt;"",U313&lt;&gt;"",V313&lt;&gt;"",W313&lt;&gt;"",X313&lt;&gt;"",Y313&lt;&gt;"",AC313="UNIQUE"),"READY","CHECK")))</f>
        <v/>
      </c>
    </row>
    <row r="314">
      <c r="A314" s="25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37" t="n"/>
      <c r="K314" s="34" t="n"/>
      <c r="L314" s="26" t="n"/>
      <c r="M314" s="37" t="n"/>
      <c r="N314" s="37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34" t="n"/>
      <c r="Y314" s="26" t="n"/>
      <c r="Z314" s="26" t="n"/>
      <c r="AA314" s="26" t="n"/>
      <c r="AB314" s="27" t="n"/>
      <c r="AC314" s="32">
        <f>IF(A314="","",IF(COUNTIF($H$5:$H$1004,H314)&gt;1,"DUPLICATE","UNIQUE"))</f>
        <v/>
      </c>
      <c r="AD314" s="32">
        <f>IF(A314="","",IF(AA314="Rejected",IF(AB314&lt;&gt;"","REJECTED","ADD REASON"),IF(AND(B314&lt;&gt;"",C314&lt;&gt;"",D314&lt;&gt;"",E314&lt;&gt;"",F314&lt;&gt;"",G314&lt;&gt;"",H314&lt;&gt;"",J314&lt;&gt;"",K314&lt;&gt;"",L314&lt;&gt;"",M314&lt;&gt;"",N314&lt;&gt;"",O314&lt;&gt;"",P314&lt;&gt;"",Q314&lt;&gt;"",R314&lt;&gt;"",S314&lt;&gt;"",T314&lt;&gt;"",U314&lt;&gt;"",V314&lt;&gt;"",W314&lt;&gt;"",X314&lt;&gt;"",Y314&lt;&gt;"",AC314="UNIQUE"),"READY","CHECK")))</f>
        <v/>
      </c>
    </row>
    <row r="315">
      <c r="A315" s="25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37" t="n"/>
      <c r="K315" s="34" t="n"/>
      <c r="L315" s="26" t="n"/>
      <c r="M315" s="37" t="n"/>
      <c r="N315" s="37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34" t="n"/>
      <c r="Y315" s="26" t="n"/>
      <c r="Z315" s="26" t="n"/>
      <c r="AA315" s="26" t="n"/>
      <c r="AB315" s="27" t="n"/>
      <c r="AC315" s="32">
        <f>IF(A315="","",IF(COUNTIF($H$5:$H$1004,H315)&gt;1,"DUPLICATE","UNIQUE"))</f>
        <v/>
      </c>
      <c r="AD315" s="32">
        <f>IF(A315="","",IF(AA315="Rejected",IF(AB315&lt;&gt;"","REJECTED","ADD REASON"),IF(AND(B315&lt;&gt;"",C315&lt;&gt;"",D315&lt;&gt;"",E315&lt;&gt;"",F315&lt;&gt;"",G315&lt;&gt;"",H315&lt;&gt;"",J315&lt;&gt;"",K315&lt;&gt;"",L315&lt;&gt;"",M315&lt;&gt;"",N315&lt;&gt;"",O315&lt;&gt;"",P315&lt;&gt;"",Q315&lt;&gt;"",R315&lt;&gt;"",S315&lt;&gt;"",T315&lt;&gt;"",U315&lt;&gt;"",V315&lt;&gt;"",W315&lt;&gt;"",X315&lt;&gt;"",Y315&lt;&gt;"",AC315="UNIQUE"),"READY","CHECK")))</f>
        <v/>
      </c>
    </row>
    <row r="316">
      <c r="A316" s="25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37" t="n"/>
      <c r="K316" s="34" t="n"/>
      <c r="L316" s="26" t="n"/>
      <c r="M316" s="37" t="n"/>
      <c r="N316" s="37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34" t="n"/>
      <c r="Y316" s="26" t="n"/>
      <c r="Z316" s="26" t="n"/>
      <c r="AA316" s="26" t="n"/>
      <c r="AB316" s="27" t="n"/>
      <c r="AC316" s="32">
        <f>IF(A316="","",IF(COUNTIF($H$5:$H$1004,H316)&gt;1,"DUPLICATE","UNIQUE"))</f>
        <v/>
      </c>
      <c r="AD316" s="32">
        <f>IF(A316="","",IF(AA316="Rejected",IF(AB316&lt;&gt;"","REJECTED","ADD REASON"),IF(AND(B316&lt;&gt;"",C316&lt;&gt;"",D316&lt;&gt;"",E316&lt;&gt;"",F316&lt;&gt;"",G316&lt;&gt;"",H316&lt;&gt;"",J316&lt;&gt;"",K316&lt;&gt;"",L316&lt;&gt;"",M316&lt;&gt;"",N316&lt;&gt;"",O316&lt;&gt;"",P316&lt;&gt;"",Q316&lt;&gt;"",R316&lt;&gt;"",S316&lt;&gt;"",T316&lt;&gt;"",U316&lt;&gt;"",V316&lt;&gt;"",W316&lt;&gt;"",X316&lt;&gt;"",Y316&lt;&gt;"",AC316="UNIQUE"),"READY","CHECK")))</f>
        <v/>
      </c>
    </row>
    <row r="317">
      <c r="A317" s="25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37" t="n"/>
      <c r="K317" s="34" t="n"/>
      <c r="L317" s="26" t="n"/>
      <c r="M317" s="37" t="n"/>
      <c r="N317" s="37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34" t="n"/>
      <c r="Y317" s="26" t="n"/>
      <c r="Z317" s="26" t="n"/>
      <c r="AA317" s="26" t="n"/>
      <c r="AB317" s="27" t="n"/>
      <c r="AC317" s="32">
        <f>IF(A317="","",IF(COUNTIF($H$5:$H$1004,H317)&gt;1,"DUPLICATE","UNIQUE"))</f>
        <v/>
      </c>
      <c r="AD317" s="32">
        <f>IF(A317="","",IF(AA317="Rejected",IF(AB317&lt;&gt;"","REJECTED","ADD REASON"),IF(AND(B317&lt;&gt;"",C317&lt;&gt;"",D317&lt;&gt;"",E317&lt;&gt;"",F317&lt;&gt;"",G317&lt;&gt;"",H317&lt;&gt;"",J317&lt;&gt;"",K317&lt;&gt;"",L317&lt;&gt;"",M317&lt;&gt;"",N317&lt;&gt;"",O317&lt;&gt;"",P317&lt;&gt;"",Q317&lt;&gt;"",R317&lt;&gt;"",S317&lt;&gt;"",T317&lt;&gt;"",U317&lt;&gt;"",V317&lt;&gt;"",W317&lt;&gt;"",X317&lt;&gt;"",Y317&lt;&gt;"",AC317="UNIQUE"),"READY","CHECK")))</f>
        <v/>
      </c>
    </row>
    <row r="318">
      <c r="A318" s="25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37" t="n"/>
      <c r="K318" s="34" t="n"/>
      <c r="L318" s="26" t="n"/>
      <c r="M318" s="37" t="n"/>
      <c r="N318" s="37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34" t="n"/>
      <c r="Y318" s="26" t="n"/>
      <c r="Z318" s="26" t="n"/>
      <c r="AA318" s="26" t="n"/>
      <c r="AB318" s="27" t="n"/>
      <c r="AC318" s="32">
        <f>IF(A318="","",IF(COUNTIF($H$5:$H$1004,H318)&gt;1,"DUPLICATE","UNIQUE"))</f>
        <v/>
      </c>
      <c r="AD318" s="32">
        <f>IF(A318="","",IF(AA318="Rejected",IF(AB318&lt;&gt;"","REJECTED","ADD REASON"),IF(AND(B318&lt;&gt;"",C318&lt;&gt;"",D318&lt;&gt;"",E318&lt;&gt;"",F318&lt;&gt;"",G318&lt;&gt;"",H318&lt;&gt;"",J318&lt;&gt;"",K318&lt;&gt;"",L318&lt;&gt;"",M318&lt;&gt;"",N318&lt;&gt;"",O318&lt;&gt;"",P318&lt;&gt;"",Q318&lt;&gt;"",R318&lt;&gt;"",S318&lt;&gt;"",T318&lt;&gt;"",U318&lt;&gt;"",V318&lt;&gt;"",W318&lt;&gt;"",X318&lt;&gt;"",Y318&lt;&gt;"",AC318="UNIQUE"),"READY","CHECK")))</f>
        <v/>
      </c>
    </row>
    <row r="319">
      <c r="A319" s="25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37" t="n"/>
      <c r="K319" s="34" t="n"/>
      <c r="L319" s="26" t="n"/>
      <c r="M319" s="37" t="n"/>
      <c r="N319" s="37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34" t="n"/>
      <c r="Y319" s="26" t="n"/>
      <c r="Z319" s="26" t="n"/>
      <c r="AA319" s="26" t="n"/>
      <c r="AB319" s="27" t="n"/>
      <c r="AC319" s="32">
        <f>IF(A319="","",IF(COUNTIF($H$5:$H$1004,H319)&gt;1,"DUPLICATE","UNIQUE"))</f>
        <v/>
      </c>
      <c r="AD319" s="32">
        <f>IF(A319="","",IF(AA319="Rejected",IF(AB319&lt;&gt;"","REJECTED","ADD REASON"),IF(AND(B319&lt;&gt;"",C319&lt;&gt;"",D319&lt;&gt;"",E319&lt;&gt;"",F319&lt;&gt;"",G319&lt;&gt;"",H319&lt;&gt;"",J319&lt;&gt;"",K319&lt;&gt;"",L319&lt;&gt;"",M319&lt;&gt;"",N319&lt;&gt;"",O319&lt;&gt;"",P319&lt;&gt;"",Q319&lt;&gt;"",R319&lt;&gt;"",S319&lt;&gt;"",T319&lt;&gt;"",U319&lt;&gt;"",V319&lt;&gt;"",W319&lt;&gt;"",X319&lt;&gt;"",Y319&lt;&gt;"",AC319="UNIQUE"),"READY","CHECK")))</f>
        <v/>
      </c>
    </row>
    <row r="320">
      <c r="A320" s="25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37" t="n"/>
      <c r="K320" s="34" t="n"/>
      <c r="L320" s="26" t="n"/>
      <c r="M320" s="37" t="n"/>
      <c r="N320" s="37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34" t="n"/>
      <c r="Y320" s="26" t="n"/>
      <c r="Z320" s="26" t="n"/>
      <c r="AA320" s="26" t="n"/>
      <c r="AB320" s="27" t="n"/>
      <c r="AC320" s="32">
        <f>IF(A320="","",IF(COUNTIF($H$5:$H$1004,H320)&gt;1,"DUPLICATE","UNIQUE"))</f>
        <v/>
      </c>
      <c r="AD320" s="32">
        <f>IF(A320="","",IF(AA320="Rejected",IF(AB320&lt;&gt;"","REJECTED","ADD REASON"),IF(AND(B320&lt;&gt;"",C320&lt;&gt;"",D320&lt;&gt;"",E320&lt;&gt;"",F320&lt;&gt;"",G320&lt;&gt;"",H320&lt;&gt;"",J320&lt;&gt;"",K320&lt;&gt;"",L320&lt;&gt;"",M320&lt;&gt;"",N320&lt;&gt;"",O320&lt;&gt;"",P320&lt;&gt;"",Q320&lt;&gt;"",R320&lt;&gt;"",S320&lt;&gt;"",T320&lt;&gt;"",U320&lt;&gt;"",V320&lt;&gt;"",W320&lt;&gt;"",X320&lt;&gt;"",Y320&lt;&gt;"",AC320="UNIQUE"),"READY","CHECK")))</f>
        <v/>
      </c>
    </row>
    <row r="321">
      <c r="A321" s="25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37" t="n"/>
      <c r="K321" s="34" t="n"/>
      <c r="L321" s="26" t="n"/>
      <c r="M321" s="37" t="n"/>
      <c r="N321" s="37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34" t="n"/>
      <c r="Y321" s="26" t="n"/>
      <c r="Z321" s="26" t="n"/>
      <c r="AA321" s="26" t="n"/>
      <c r="AB321" s="27" t="n"/>
      <c r="AC321" s="32">
        <f>IF(A321="","",IF(COUNTIF($H$5:$H$1004,H321)&gt;1,"DUPLICATE","UNIQUE"))</f>
        <v/>
      </c>
      <c r="AD321" s="32">
        <f>IF(A321="","",IF(AA321="Rejected",IF(AB321&lt;&gt;"","REJECTED","ADD REASON"),IF(AND(B321&lt;&gt;"",C321&lt;&gt;"",D321&lt;&gt;"",E321&lt;&gt;"",F321&lt;&gt;"",G321&lt;&gt;"",H321&lt;&gt;"",J321&lt;&gt;"",K321&lt;&gt;"",L321&lt;&gt;"",M321&lt;&gt;"",N321&lt;&gt;"",O321&lt;&gt;"",P321&lt;&gt;"",Q321&lt;&gt;"",R321&lt;&gt;"",S321&lt;&gt;"",T321&lt;&gt;"",U321&lt;&gt;"",V321&lt;&gt;"",W321&lt;&gt;"",X321&lt;&gt;"",Y321&lt;&gt;"",AC321="UNIQUE"),"READY","CHECK")))</f>
        <v/>
      </c>
    </row>
    <row r="322">
      <c r="A322" s="25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37" t="n"/>
      <c r="K322" s="34" t="n"/>
      <c r="L322" s="26" t="n"/>
      <c r="M322" s="37" t="n"/>
      <c r="N322" s="37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34" t="n"/>
      <c r="Y322" s="26" t="n"/>
      <c r="Z322" s="26" t="n"/>
      <c r="AA322" s="26" t="n"/>
      <c r="AB322" s="27" t="n"/>
      <c r="AC322" s="32">
        <f>IF(A322="","",IF(COUNTIF($H$5:$H$1004,H322)&gt;1,"DUPLICATE","UNIQUE"))</f>
        <v/>
      </c>
      <c r="AD322" s="32">
        <f>IF(A322="","",IF(AA322="Rejected",IF(AB322&lt;&gt;"","REJECTED","ADD REASON"),IF(AND(B322&lt;&gt;"",C322&lt;&gt;"",D322&lt;&gt;"",E322&lt;&gt;"",F322&lt;&gt;"",G322&lt;&gt;"",H322&lt;&gt;"",J322&lt;&gt;"",K322&lt;&gt;"",L322&lt;&gt;"",M322&lt;&gt;"",N322&lt;&gt;"",O322&lt;&gt;"",P322&lt;&gt;"",Q322&lt;&gt;"",R322&lt;&gt;"",S322&lt;&gt;"",T322&lt;&gt;"",U322&lt;&gt;"",V322&lt;&gt;"",W322&lt;&gt;"",X322&lt;&gt;"",Y322&lt;&gt;"",AC322="UNIQUE"),"READY","CHECK")))</f>
        <v/>
      </c>
    </row>
    <row r="323">
      <c r="A323" s="25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37" t="n"/>
      <c r="K323" s="34" t="n"/>
      <c r="L323" s="26" t="n"/>
      <c r="M323" s="37" t="n"/>
      <c r="N323" s="37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34" t="n"/>
      <c r="Y323" s="26" t="n"/>
      <c r="Z323" s="26" t="n"/>
      <c r="AA323" s="26" t="n"/>
      <c r="AB323" s="27" t="n"/>
      <c r="AC323" s="32">
        <f>IF(A323="","",IF(COUNTIF($H$5:$H$1004,H323)&gt;1,"DUPLICATE","UNIQUE"))</f>
        <v/>
      </c>
      <c r="AD323" s="32">
        <f>IF(A323="","",IF(AA323="Rejected",IF(AB323&lt;&gt;"","REJECTED","ADD REASON"),IF(AND(B323&lt;&gt;"",C323&lt;&gt;"",D323&lt;&gt;"",E323&lt;&gt;"",F323&lt;&gt;"",G323&lt;&gt;"",H323&lt;&gt;"",J323&lt;&gt;"",K323&lt;&gt;"",L323&lt;&gt;"",M323&lt;&gt;"",N323&lt;&gt;"",O323&lt;&gt;"",P323&lt;&gt;"",Q323&lt;&gt;"",R323&lt;&gt;"",S323&lt;&gt;"",T323&lt;&gt;"",U323&lt;&gt;"",V323&lt;&gt;"",W323&lt;&gt;"",X323&lt;&gt;"",Y323&lt;&gt;"",AC323="UNIQUE"),"READY","CHECK")))</f>
        <v/>
      </c>
    </row>
    <row r="324">
      <c r="A324" s="25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37" t="n"/>
      <c r="K324" s="34" t="n"/>
      <c r="L324" s="26" t="n"/>
      <c r="M324" s="37" t="n"/>
      <c r="N324" s="37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34" t="n"/>
      <c r="Y324" s="26" t="n"/>
      <c r="Z324" s="26" t="n"/>
      <c r="AA324" s="26" t="n"/>
      <c r="AB324" s="27" t="n"/>
      <c r="AC324" s="32">
        <f>IF(A324="","",IF(COUNTIF($H$5:$H$1004,H324)&gt;1,"DUPLICATE","UNIQUE"))</f>
        <v/>
      </c>
      <c r="AD324" s="32">
        <f>IF(A324="","",IF(AA324="Rejected",IF(AB324&lt;&gt;"","REJECTED","ADD REASON"),IF(AND(B324&lt;&gt;"",C324&lt;&gt;"",D324&lt;&gt;"",E324&lt;&gt;"",F324&lt;&gt;"",G324&lt;&gt;"",H324&lt;&gt;"",J324&lt;&gt;"",K324&lt;&gt;"",L324&lt;&gt;"",M324&lt;&gt;"",N324&lt;&gt;"",O324&lt;&gt;"",P324&lt;&gt;"",Q324&lt;&gt;"",R324&lt;&gt;"",S324&lt;&gt;"",T324&lt;&gt;"",U324&lt;&gt;"",V324&lt;&gt;"",W324&lt;&gt;"",X324&lt;&gt;"",Y324&lt;&gt;"",AC324="UNIQUE"),"READY","CHECK")))</f>
        <v/>
      </c>
    </row>
    <row r="325">
      <c r="A325" s="25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37" t="n"/>
      <c r="K325" s="34" t="n"/>
      <c r="L325" s="26" t="n"/>
      <c r="M325" s="37" t="n"/>
      <c r="N325" s="37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34" t="n"/>
      <c r="Y325" s="26" t="n"/>
      <c r="Z325" s="26" t="n"/>
      <c r="AA325" s="26" t="n"/>
      <c r="AB325" s="27" t="n"/>
      <c r="AC325" s="32">
        <f>IF(A325="","",IF(COUNTIF($H$5:$H$1004,H325)&gt;1,"DUPLICATE","UNIQUE"))</f>
        <v/>
      </c>
      <c r="AD325" s="32">
        <f>IF(A325="","",IF(AA325="Rejected",IF(AB325&lt;&gt;"","REJECTED","ADD REASON"),IF(AND(B325&lt;&gt;"",C325&lt;&gt;"",D325&lt;&gt;"",E325&lt;&gt;"",F325&lt;&gt;"",G325&lt;&gt;"",H325&lt;&gt;"",J325&lt;&gt;"",K325&lt;&gt;"",L325&lt;&gt;"",M325&lt;&gt;"",N325&lt;&gt;"",O325&lt;&gt;"",P325&lt;&gt;"",Q325&lt;&gt;"",R325&lt;&gt;"",S325&lt;&gt;"",T325&lt;&gt;"",U325&lt;&gt;"",V325&lt;&gt;"",W325&lt;&gt;"",X325&lt;&gt;"",Y325&lt;&gt;"",AC325="UNIQUE"),"READY","CHECK")))</f>
        <v/>
      </c>
    </row>
    <row r="326">
      <c r="A326" s="25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37" t="n"/>
      <c r="K326" s="34" t="n"/>
      <c r="L326" s="26" t="n"/>
      <c r="M326" s="37" t="n"/>
      <c r="N326" s="37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34" t="n"/>
      <c r="Y326" s="26" t="n"/>
      <c r="Z326" s="26" t="n"/>
      <c r="AA326" s="26" t="n"/>
      <c r="AB326" s="27" t="n"/>
      <c r="AC326" s="32">
        <f>IF(A326="","",IF(COUNTIF($H$5:$H$1004,H326)&gt;1,"DUPLICATE","UNIQUE"))</f>
        <v/>
      </c>
      <c r="AD326" s="32">
        <f>IF(A326="","",IF(AA326="Rejected",IF(AB326&lt;&gt;"","REJECTED","ADD REASON"),IF(AND(B326&lt;&gt;"",C326&lt;&gt;"",D326&lt;&gt;"",E326&lt;&gt;"",F326&lt;&gt;"",G326&lt;&gt;"",H326&lt;&gt;"",J326&lt;&gt;"",K326&lt;&gt;"",L326&lt;&gt;"",M326&lt;&gt;"",N326&lt;&gt;"",O326&lt;&gt;"",P326&lt;&gt;"",Q326&lt;&gt;"",R326&lt;&gt;"",S326&lt;&gt;"",T326&lt;&gt;"",U326&lt;&gt;"",V326&lt;&gt;"",W326&lt;&gt;"",X326&lt;&gt;"",Y326&lt;&gt;"",AC326="UNIQUE"),"READY","CHECK")))</f>
        <v/>
      </c>
    </row>
    <row r="327">
      <c r="A327" s="25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37" t="n"/>
      <c r="K327" s="34" t="n"/>
      <c r="L327" s="26" t="n"/>
      <c r="M327" s="37" t="n"/>
      <c r="N327" s="37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34" t="n"/>
      <c r="Y327" s="26" t="n"/>
      <c r="Z327" s="26" t="n"/>
      <c r="AA327" s="26" t="n"/>
      <c r="AB327" s="27" t="n"/>
      <c r="AC327" s="32">
        <f>IF(A327="","",IF(COUNTIF($H$5:$H$1004,H327)&gt;1,"DUPLICATE","UNIQUE"))</f>
        <v/>
      </c>
      <c r="AD327" s="32">
        <f>IF(A327="","",IF(AA327="Rejected",IF(AB327&lt;&gt;"","REJECTED","ADD REASON"),IF(AND(B327&lt;&gt;"",C327&lt;&gt;"",D327&lt;&gt;"",E327&lt;&gt;"",F327&lt;&gt;"",G327&lt;&gt;"",H327&lt;&gt;"",J327&lt;&gt;"",K327&lt;&gt;"",L327&lt;&gt;"",M327&lt;&gt;"",N327&lt;&gt;"",O327&lt;&gt;"",P327&lt;&gt;"",Q327&lt;&gt;"",R327&lt;&gt;"",S327&lt;&gt;"",T327&lt;&gt;"",U327&lt;&gt;"",V327&lt;&gt;"",W327&lt;&gt;"",X327&lt;&gt;"",Y327&lt;&gt;"",AC327="UNIQUE"),"READY","CHECK")))</f>
        <v/>
      </c>
    </row>
    <row r="328">
      <c r="A328" s="25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37" t="n"/>
      <c r="K328" s="34" t="n"/>
      <c r="L328" s="26" t="n"/>
      <c r="M328" s="37" t="n"/>
      <c r="N328" s="37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34" t="n"/>
      <c r="Y328" s="26" t="n"/>
      <c r="Z328" s="26" t="n"/>
      <c r="AA328" s="26" t="n"/>
      <c r="AB328" s="27" t="n"/>
      <c r="AC328" s="32">
        <f>IF(A328="","",IF(COUNTIF($H$5:$H$1004,H328)&gt;1,"DUPLICATE","UNIQUE"))</f>
        <v/>
      </c>
      <c r="AD328" s="32">
        <f>IF(A328="","",IF(AA328="Rejected",IF(AB328&lt;&gt;"","REJECTED","ADD REASON"),IF(AND(B328&lt;&gt;"",C328&lt;&gt;"",D328&lt;&gt;"",E328&lt;&gt;"",F328&lt;&gt;"",G328&lt;&gt;"",H328&lt;&gt;"",J328&lt;&gt;"",K328&lt;&gt;"",L328&lt;&gt;"",M328&lt;&gt;"",N328&lt;&gt;"",O328&lt;&gt;"",P328&lt;&gt;"",Q328&lt;&gt;"",R328&lt;&gt;"",S328&lt;&gt;"",T328&lt;&gt;"",U328&lt;&gt;"",V328&lt;&gt;"",W328&lt;&gt;"",X328&lt;&gt;"",Y328&lt;&gt;"",AC328="UNIQUE"),"READY","CHECK")))</f>
        <v/>
      </c>
    </row>
    <row r="329">
      <c r="A329" s="25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37" t="n"/>
      <c r="K329" s="34" t="n"/>
      <c r="L329" s="26" t="n"/>
      <c r="M329" s="37" t="n"/>
      <c r="N329" s="37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34" t="n"/>
      <c r="Y329" s="26" t="n"/>
      <c r="Z329" s="26" t="n"/>
      <c r="AA329" s="26" t="n"/>
      <c r="AB329" s="27" t="n"/>
      <c r="AC329" s="32">
        <f>IF(A329="","",IF(COUNTIF($H$5:$H$1004,H329)&gt;1,"DUPLICATE","UNIQUE"))</f>
        <v/>
      </c>
      <c r="AD329" s="32">
        <f>IF(A329="","",IF(AA329="Rejected",IF(AB329&lt;&gt;"","REJECTED","ADD REASON"),IF(AND(B329&lt;&gt;"",C329&lt;&gt;"",D329&lt;&gt;"",E329&lt;&gt;"",F329&lt;&gt;"",G329&lt;&gt;"",H329&lt;&gt;"",J329&lt;&gt;"",K329&lt;&gt;"",L329&lt;&gt;"",M329&lt;&gt;"",N329&lt;&gt;"",O329&lt;&gt;"",P329&lt;&gt;"",Q329&lt;&gt;"",R329&lt;&gt;"",S329&lt;&gt;"",T329&lt;&gt;"",U329&lt;&gt;"",V329&lt;&gt;"",W329&lt;&gt;"",X329&lt;&gt;"",Y329&lt;&gt;"",AC329="UNIQUE"),"READY","CHECK")))</f>
        <v/>
      </c>
    </row>
    <row r="330">
      <c r="A330" s="25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37" t="n"/>
      <c r="K330" s="34" t="n"/>
      <c r="L330" s="26" t="n"/>
      <c r="M330" s="37" t="n"/>
      <c r="N330" s="37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34" t="n"/>
      <c r="Y330" s="26" t="n"/>
      <c r="Z330" s="26" t="n"/>
      <c r="AA330" s="26" t="n"/>
      <c r="AB330" s="27" t="n"/>
      <c r="AC330" s="32">
        <f>IF(A330="","",IF(COUNTIF($H$5:$H$1004,H330)&gt;1,"DUPLICATE","UNIQUE"))</f>
        <v/>
      </c>
      <c r="AD330" s="32">
        <f>IF(A330="","",IF(AA330="Rejected",IF(AB330&lt;&gt;"","REJECTED","ADD REASON"),IF(AND(B330&lt;&gt;"",C330&lt;&gt;"",D330&lt;&gt;"",E330&lt;&gt;"",F330&lt;&gt;"",G330&lt;&gt;"",H330&lt;&gt;"",J330&lt;&gt;"",K330&lt;&gt;"",L330&lt;&gt;"",M330&lt;&gt;"",N330&lt;&gt;"",O330&lt;&gt;"",P330&lt;&gt;"",Q330&lt;&gt;"",R330&lt;&gt;"",S330&lt;&gt;"",T330&lt;&gt;"",U330&lt;&gt;"",V330&lt;&gt;"",W330&lt;&gt;"",X330&lt;&gt;"",Y330&lt;&gt;"",AC330="UNIQUE"),"READY","CHECK")))</f>
        <v/>
      </c>
    </row>
    <row r="331">
      <c r="A331" s="25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37" t="n"/>
      <c r="K331" s="34" t="n"/>
      <c r="L331" s="26" t="n"/>
      <c r="M331" s="37" t="n"/>
      <c r="N331" s="37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34" t="n"/>
      <c r="Y331" s="26" t="n"/>
      <c r="Z331" s="26" t="n"/>
      <c r="AA331" s="26" t="n"/>
      <c r="AB331" s="27" t="n"/>
      <c r="AC331" s="32">
        <f>IF(A331="","",IF(COUNTIF($H$5:$H$1004,H331)&gt;1,"DUPLICATE","UNIQUE"))</f>
        <v/>
      </c>
      <c r="AD331" s="32">
        <f>IF(A331="","",IF(AA331="Rejected",IF(AB331&lt;&gt;"","REJECTED","ADD REASON"),IF(AND(B331&lt;&gt;"",C331&lt;&gt;"",D331&lt;&gt;"",E331&lt;&gt;"",F331&lt;&gt;"",G331&lt;&gt;"",H331&lt;&gt;"",J331&lt;&gt;"",K331&lt;&gt;"",L331&lt;&gt;"",M331&lt;&gt;"",N331&lt;&gt;"",O331&lt;&gt;"",P331&lt;&gt;"",Q331&lt;&gt;"",R331&lt;&gt;"",S331&lt;&gt;"",T331&lt;&gt;"",U331&lt;&gt;"",V331&lt;&gt;"",W331&lt;&gt;"",X331&lt;&gt;"",Y331&lt;&gt;"",AC331="UNIQUE"),"READY","CHECK")))</f>
        <v/>
      </c>
    </row>
    <row r="332">
      <c r="A332" s="25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37" t="n"/>
      <c r="K332" s="34" t="n"/>
      <c r="L332" s="26" t="n"/>
      <c r="M332" s="37" t="n"/>
      <c r="N332" s="37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34" t="n"/>
      <c r="Y332" s="26" t="n"/>
      <c r="Z332" s="26" t="n"/>
      <c r="AA332" s="26" t="n"/>
      <c r="AB332" s="27" t="n"/>
      <c r="AC332" s="32">
        <f>IF(A332="","",IF(COUNTIF($H$5:$H$1004,H332)&gt;1,"DUPLICATE","UNIQUE"))</f>
        <v/>
      </c>
      <c r="AD332" s="32">
        <f>IF(A332="","",IF(AA332="Rejected",IF(AB332&lt;&gt;"","REJECTED","ADD REASON"),IF(AND(B332&lt;&gt;"",C332&lt;&gt;"",D332&lt;&gt;"",E332&lt;&gt;"",F332&lt;&gt;"",G332&lt;&gt;"",H332&lt;&gt;"",J332&lt;&gt;"",K332&lt;&gt;"",L332&lt;&gt;"",M332&lt;&gt;"",N332&lt;&gt;"",O332&lt;&gt;"",P332&lt;&gt;"",Q332&lt;&gt;"",R332&lt;&gt;"",S332&lt;&gt;"",T332&lt;&gt;"",U332&lt;&gt;"",V332&lt;&gt;"",W332&lt;&gt;"",X332&lt;&gt;"",Y332&lt;&gt;"",AC332="UNIQUE"),"READY","CHECK")))</f>
        <v/>
      </c>
    </row>
    <row r="333">
      <c r="A333" s="25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37" t="n"/>
      <c r="K333" s="34" t="n"/>
      <c r="L333" s="26" t="n"/>
      <c r="M333" s="37" t="n"/>
      <c r="N333" s="37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34" t="n"/>
      <c r="Y333" s="26" t="n"/>
      <c r="Z333" s="26" t="n"/>
      <c r="AA333" s="26" t="n"/>
      <c r="AB333" s="27" t="n"/>
      <c r="AC333" s="32">
        <f>IF(A333="","",IF(COUNTIF($H$5:$H$1004,H333)&gt;1,"DUPLICATE","UNIQUE"))</f>
        <v/>
      </c>
      <c r="AD333" s="32">
        <f>IF(A333="","",IF(AA333="Rejected",IF(AB333&lt;&gt;"","REJECTED","ADD REASON"),IF(AND(B333&lt;&gt;"",C333&lt;&gt;"",D333&lt;&gt;"",E333&lt;&gt;"",F333&lt;&gt;"",G333&lt;&gt;"",H333&lt;&gt;"",J333&lt;&gt;"",K333&lt;&gt;"",L333&lt;&gt;"",M333&lt;&gt;"",N333&lt;&gt;"",O333&lt;&gt;"",P333&lt;&gt;"",Q333&lt;&gt;"",R333&lt;&gt;"",S333&lt;&gt;"",T333&lt;&gt;"",U333&lt;&gt;"",V333&lt;&gt;"",W333&lt;&gt;"",X333&lt;&gt;"",Y333&lt;&gt;"",AC333="UNIQUE"),"READY","CHECK")))</f>
        <v/>
      </c>
    </row>
    <row r="334">
      <c r="A334" s="25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37" t="n"/>
      <c r="K334" s="34" t="n"/>
      <c r="L334" s="26" t="n"/>
      <c r="M334" s="37" t="n"/>
      <c r="N334" s="37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34" t="n"/>
      <c r="Y334" s="26" t="n"/>
      <c r="Z334" s="26" t="n"/>
      <c r="AA334" s="26" t="n"/>
      <c r="AB334" s="27" t="n"/>
      <c r="AC334" s="32">
        <f>IF(A334="","",IF(COUNTIF($H$5:$H$1004,H334)&gt;1,"DUPLICATE","UNIQUE"))</f>
        <v/>
      </c>
      <c r="AD334" s="32">
        <f>IF(A334="","",IF(AA334="Rejected",IF(AB334&lt;&gt;"","REJECTED","ADD REASON"),IF(AND(B334&lt;&gt;"",C334&lt;&gt;"",D334&lt;&gt;"",E334&lt;&gt;"",F334&lt;&gt;"",G334&lt;&gt;"",H334&lt;&gt;"",J334&lt;&gt;"",K334&lt;&gt;"",L334&lt;&gt;"",M334&lt;&gt;"",N334&lt;&gt;"",O334&lt;&gt;"",P334&lt;&gt;"",Q334&lt;&gt;"",R334&lt;&gt;"",S334&lt;&gt;"",T334&lt;&gt;"",U334&lt;&gt;"",V334&lt;&gt;"",W334&lt;&gt;"",X334&lt;&gt;"",Y334&lt;&gt;"",AC334="UNIQUE"),"READY","CHECK")))</f>
        <v/>
      </c>
    </row>
    <row r="335">
      <c r="A335" s="25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37" t="n"/>
      <c r="K335" s="34" t="n"/>
      <c r="L335" s="26" t="n"/>
      <c r="M335" s="37" t="n"/>
      <c r="N335" s="37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34" t="n"/>
      <c r="Y335" s="26" t="n"/>
      <c r="Z335" s="26" t="n"/>
      <c r="AA335" s="26" t="n"/>
      <c r="AB335" s="27" t="n"/>
      <c r="AC335" s="32">
        <f>IF(A335="","",IF(COUNTIF($H$5:$H$1004,H335)&gt;1,"DUPLICATE","UNIQUE"))</f>
        <v/>
      </c>
      <c r="AD335" s="32">
        <f>IF(A335="","",IF(AA335="Rejected",IF(AB335&lt;&gt;"","REJECTED","ADD REASON"),IF(AND(B335&lt;&gt;"",C335&lt;&gt;"",D335&lt;&gt;"",E335&lt;&gt;"",F335&lt;&gt;"",G335&lt;&gt;"",H335&lt;&gt;"",J335&lt;&gt;"",K335&lt;&gt;"",L335&lt;&gt;"",M335&lt;&gt;"",N335&lt;&gt;"",O335&lt;&gt;"",P335&lt;&gt;"",Q335&lt;&gt;"",R335&lt;&gt;"",S335&lt;&gt;"",T335&lt;&gt;"",U335&lt;&gt;"",V335&lt;&gt;"",W335&lt;&gt;"",X335&lt;&gt;"",Y335&lt;&gt;"",AC335="UNIQUE"),"READY","CHECK")))</f>
        <v/>
      </c>
    </row>
    <row r="336">
      <c r="A336" s="25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37" t="n"/>
      <c r="K336" s="34" t="n"/>
      <c r="L336" s="26" t="n"/>
      <c r="M336" s="37" t="n"/>
      <c r="N336" s="37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34" t="n"/>
      <c r="Y336" s="26" t="n"/>
      <c r="Z336" s="26" t="n"/>
      <c r="AA336" s="26" t="n"/>
      <c r="AB336" s="27" t="n"/>
      <c r="AC336" s="32">
        <f>IF(A336="","",IF(COUNTIF($H$5:$H$1004,H336)&gt;1,"DUPLICATE","UNIQUE"))</f>
        <v/>
      </c>
      <c r="AD336" s="32">
        <f>IF(A336="","",IF(AA336="Rejected",IF(AB336&lt;&gt;"","REJECTED","ADD REASON"),IF(AND(B336&lt;&gt;"",C336&lt;&gt;"",D336&lt;&gt;"",E336&lt;&gt;"",F336&lt;&gt;"",G336&lt;&gt;"",H336&lt;&gt;"",J336&lt;&gt;"",K336&lt;&gt;"",L336&lt;&gt;"",M336&lt;&gt;"",N336&lt;&gt;"",O336&lt;&gt;"",P336&lt;&gt;"",Q336&lt;&gt;"",R336&lt;&gt;"",S336&lt;&gt;"",T336&lt;&gt;"",U336&lt;&gt;"",V336&lt;&gt;"",W336&lt;&gt;"",X336&lt;&gt;"",Y336&lt;&gt;"",AC336="UNIQUE"),"READY","CHECK")))</f>
        <v/>
      </c>
    </row>
    <row r="337">
      <c r="A337" s="25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37" t="n"/>
      <c r="K337" s="34" t="n"/>
      <c r="L337" s="26" t="n"/>
      <c r="M337" s="37" t="n"/>
      <c r="N337" s="37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34" t="n"/>
      <c r="Y337" s="26" t="n"/>
      <c r="Z337" s="26" t="n"/>
      <c r="AA337" s="26" t="n"/>
      <c r="AB337" s="27" t="n"/>
      <c r="AC337" s="32">
        <f>IF(A337="","",IF(COUNTIF($H$5:$H$1004,H337)&gt;1,"DUPLICATE","UNIQUE"))</f>
        <v/>
      </c>
      <c r="AD337" s="32">
        <f>IF(A337="","",IF(AA337="Rejected",IF(AB337&lt;&gt;"","REJECTED","ADD REASON"),IF(AND(B337&lt;&gt;"",C337&lt;&gt;"",D337&lt;&gt;"",E337&lt;&gt;"",F337&lt;&gt;"",G337&lt;&gt;"",H337&lt;&gt;"",J337&lt;&gt;"",K337&lt;&gt;"",L337&lt;&gt;"",M337&lt;&gt;"",N337&lt;&gt;"",O337&lt;&gt;"",P337&lt;&gt;"",Q337&lt;&gt;"",R337&lt;&gt;"",S337&lt;&gt;"",T337&lt;&gt;"",U337&lt;&gt;"",V337&lt;&gt;"",W337&lt;&gt;"",X337&lt;&gt;"",Y337&lt;&gt;"",AC337="UNIQUE"),"READY","CHECK")))</f>
        <v/>
      </c>
    </row>
    <row r="338">
      <c r="A338" s="25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37" t="n"/>
      <c r="K338" s="34" t="n"/>
      <c r="L338" s="26" t="n"/>
      <c r="M338" s="37" t="n"/>
      <c r="N338" s="37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34" t="n"/>
      <c r="Y338" s="26" t="n"/>
      <c r="Z338" s="26" t="n"/>
      <c r="AA338" s="26" t="n"/>
      <c r="AB338" s="27" t="n"/>
      <c r="AC338" s="32">
        <f>IF(A338="","",IF(COUNTIF($H$5:$H$1004,H338)&gt;1,"DUPLICATE","UNIQUE"))</f>
        <v/>
      </c>
      <c r="AD338" s="32">
        <f>IF(A338="","",IF(AA338="Rejected",IF(AB338&lt;&gt;"","REJECTED","ADD REASON"),IF(AND(B338&lt;&gt;"",C338&lt;&gt;"",D338&lt;&gt;"",E338&lt;&gt;"",F338&lt;&gt;"",G338&lt;&gt;"",H338&lt;&gt;"",J338&lt;&gt;"",K338&lt;&gt;"",L338&lt;&gt;"",M338&lt;&gt;"",N338&lt;&gt;"",O338&lt;&gt;"",P338&lt;&gt;"",Q338&lt;&gt;"",R338&lt;&gt;"",S338&lt;&gt;"",T338&lt;&gt;"",U338&lt;&gt;"",V338&lt;&gt;"",W338&lt;&gt;"",X338&lt;&gt;"",Y338&lt;&gt;"",AC338="UNIQUE"),"READY","CHECK")))</f>
        <v/>
      </c>
    </row>
    <row r="339">
      <c r="A339" s="25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37" t="n"/>
      <c r="K339" s="34" t="n"/>
      <c r="L339" s="26" t="n"/>
      <c r="M339" s="37" t="n"/>
      <c r="N339" s="37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34" t="n"/>
      <c r="Y339" s="26" t="n"/>
      <c r="Z339" s="26" t="n"/>
      <c r="AA339" s="26" t="n"/>
      <c r="AB339" s="27" t="n"/>
      <c r="AC339" s="32">
        <f>IF(A339="","",IF(COUNTIF($H$5:$H$1004,H339)&gt;1,"DUPLICATE","UNIQUE"))</f>
        <v/>
      </c>
      <c r="AD339" s="32">
        <f>IF(A339="","",IF(AA339="Rejected",IF(AB339&lt;&gt;"","REJECTED","ADD REASON"),IF(AND(B339&lt;&gt;"",C339&lt;&gt;"",D339&lt;&gt;"",E339&lt;&gt;"",F339&lt;&gt;"",G339&lt;&gt;"",H339&lt;&gt;"",J339&lt;&gt;"",K339&lt;&gt;"",L339&lt;&gt;"",M339&lt;&gt;"",N339&lt;&gt;"",O339&lt;&gt;"",P339&lt;&gt;"",Q339&lt;&gt;"",R339&lt;&gt;"",S339&lt;&gt;"",T339&lt;&gt;"",U339&lt;&gt;"",V339&lt;&gt;"",W339&lt;&gt;"",X339&lt;&gt;"",Y339&lt;&gt;"",AC339="UNIQUE"),"READY","CHECK")))</f>
        <v/>
      </c>
    </row>
    <row r="340">
      <c r="A340" s="25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37" t="n"/>
      <c r="K340" s="34" t="n"/>
      <c r="L340" s="26" t="n"/>
      <c r="M340" s="37" t="n"/>
      <c r="N340" s="37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34" t="n"/>
      <c r="Y340" s="26" t="n"/>
      <c r="Z340" s="26" t="n"/>
      <c r="AA340" s="26" t="n"/>
      <c r="AB340" s="27" t="n"/>
      <c r="AC340" s="32">
        <f>IF(A340="","",IF(COUNTIF($H$5:$H$1004,H340)&gt;1,"DUPLICATE","UNIQUE"))</f>
        <v/>
      </c>
      <c r="AD340" s="32">
        <f>IF(A340="","",IF(AA340="Rejected",IF(AB340&lt;&gt;"","REJECTED","ADD REASON"),IF(AND(B340&lt;&gt;"",C340&lt;&gt;"",D340&lt;&gt;"",E340&lt;&gt;"",F340&lt;&gt;"",G340&lt;&gt;"",H340&lt;&gt;"",J340&lt;&gt;"",K340&lt;&gt;"",L340&lt;&gt;"",M340&lt;&gt;"",N340&lt;&gt;"",O340&lt;&gt;"",P340&lt;&gt;"",Q340&lt;&gt;"",R340&lt;&gt;"",S340&lt;&gt;"",T340&lt;&gt;"",U340&lt;&gt;"",V340&lt;&gt;"",W340&lt;&gt;"",X340&lt;&gt;"",Y340&lt;&gt;"",AC340="UNIQUE"),"READY","CHECK")))</f>
        <v/>
      </c>
    </row>
    <row r="341">
      <c r="A341" s="25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37" t="n"/>
      <c r="K341" s="34" t="n"/>
      <c r="L341" s="26" t="n"/>
      <c r="M341" s="37" t="n"/>
      <c r="N341" s="37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34" t="n"/>
      <c r="Y341" s="26" t="n"/>
      <c r="Z341" s="26" t="n"/>
      <c r="AA341" s="26" t="n"/>
      <c r="AB341" s="27" t="n"/>
      <c r="AC341" s="32">
        <f>IF(A341="","",IF(COUNTIF($H$5:$H$1004,H341)&gt;1,"DUPLICATE","UNIQUE"))</f>
        <v/>
      </c>
      <c r="AD341" s="32">
        <f>IF(A341="","",IF(AA341="Rejected",IF(AB341&lt;&gt;"","REJECTED","ADD REASON"),IF(AND(B341&lt;&gt;"",C341&lt;&gt;"",D341&lt;&gt;"",E341&lt;&gt;"",F341&lt;&gt;"",G341&lt;&gt;"",H341&lt;&gt;"",J341&lt;&gt;"",K341&lt;&gt;"",L341&lt;&gt;"",M341&lt;&gt;"",N341&lt;&gt;"",O341&lt;&gt;"",P341&lt;&gt;"",Q341&lt;&gt;"",R341&lt;&gt;"",S341&lt;&gt;"",T341&lt;&gt;"",U341&lt;&gt;"",V341&lt;&gt;"",W341&lt;&gt;"",X341&lt;&gt;"",Y341&lt;&gt;"",AC341="UNIQUE"),"READY","CHECK")))</f>
        <v/>
      </c>
    </row>
    <row r="342">
      <c r="A342" s="25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37" t="n"/>
      <c r="K342" s="34" t="n"/>
      <c r="L342" s="26" t="n"/>
      <c r="M342" s="37" t="n"/>
      <c r="N342" s="37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34" t="n"/>
      <c r="Y342" s="26" t="n"/>
      <c r="Z342" s="26" t="n"/>
      <c r="AA342" s="26" t="n"/>
      <c r="AB342" s="27" t="n"/>
      <c r="AC342" s="32">
        <f>IF(A342="","",IF(COUNTIF($H$5:$H$1004,H342)&gt;1,"DUPLICATE","UNIQUE"))</f>
        <v/>
      </c>
      <c r="AD342" s="32">
        <f>IF(A342="","",IF(AA342="Rejected",IF(AB342&lt;&gt;"","REJECTED","ADD REASON"),IF(AND(B342&lt;&gt;"",C342&lt;&gt;"",D342&lt;&gt;"",E342&lt;&gt;"",F342&lt;&gt;"",G342&lt;&gt;"",H342&lt;&gt;"",J342&lt;&gt;"",K342&lt;&gt;"",L342&lt;&gt;"",M342&lt;&gt;"",N342&lt;&gt;"",O342&lt;&gt;"",P342&lt;&gt;"",Q342&lt;&gt;"",R342&lt;&gt;"",S342&lt;&gt;"",T342&lt;&gt;"",U342&lt;&gt;"",V342&lt;&gt;"",W342&lt;&gt;"",X342&lt;&gt;"",Y342&lt;&gt;"",AC342="UNIQUE"),"READY","CHECK")))</f>
        <v/>
      </c>
    </row>
    <row r="343">
      <c r="A343" s="25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37" t="n"/>
      <c r="K343" s="34" t="n"/>
      <c r="L343" s="26" t="n"/>
      <c r="M343" s="37" t="n"/>
      <c r="N343" s="37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34" t="n"/>
      <c r="Y343" s="26" t="n"/>
      <c r="Z343" s="26" t="n"/>
      <c r="AA343" s="26" t="n"/>
      <c r="AB343" s="27" t="n"/>
      <c r="AC343" s="32">
        <f>IF(A343="","",IF(COUNTIF($H$5:$H$1004,H343)&gt;1,"DUPLICATE","UNIQUE"))</f>
        <v/>
      </c>
      <c r="AD343" s="32">
        <f>IF(A343="","",IF(AA343="Rejected",IF(AB343&lt;&gt;"","REJECTED","ADD REASON"),IF(AND(B343&lt;&gt;"",C343&lt;&gt;"",D343&lt;&gt;"",E343&lt;&gt;"",F343&lt;&gt;"",G343&lt;&gt;"",H343&lt;&gt;"",J343&lt;&gt;"",K343&lt;&gt;"",L343&lt;&gt;"",M343&lt;&gt;"",N343&lt;&gt;"",O343&lt;&gt;"",P343&lt;&gt;"",Q343&lt;&gt;"",R343&lt;&gt;"",S343&lt;&gt;"",T343&lt;&gt;"",U343&lt;&gt;"",V343&lt;&gt;"",W343&lt;&gt;"",X343&lt;&gt;"",Y343&lt;&gt;"",AC343="UNIQUE"),"READY","CHECK")))</f>
        <v/>
      </c>
    </row>
    <row r="344">
      <c r="A344" s="25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37" t="n"/>
      <c r="K344" s="34" t="n"/>
      <c r="L344" s="26" t="n"/>
      <c r="M344" s="37" t="n"/>
      <c r="N344" s="37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34" t="n"/>
      <c r="Y344" s="26" t="n"/>
      <c r="Z344" s="26" t="n"/>
      <c r="AA344" s="26" t="n"/>
      <c r="AB344" s="27" t="n"/>
      <c r="AC344" s="32">
        <f>IF(A344="","",IF(COUNTIF($H$5:$H$1004,H344)&gt;1,"DUPLICATE","UNIQUE"))</f>
        <v/>
      </c>
      <c r="AD344" s="32">
        <f>IF(A344="","",IF(AA344="Rejected",IF(AB344&lt;&gt;"","REJECTED","ADD REASON"),IF(AND(B344&lt;&gt;"",C344&lt;&gt;"",D344&lt;&gt;"",E344&lt;&gt;"",F344&lt;&gt;"",G344&lt;&gt;"",H344&lt;&gt;"",J344&lt;&gt;"",K344&lt;&gt;"",L344&lt;&gt;"",M344&lt;&gt;"",N344&lt;&gt;"",O344&lt;&gt;"",P344&lt;&gt;"",Q344&lt;&gt;"",R344&lt;&gt;"",S344&lt;&gt;"",T344&lt;&gt;"",U344&lt;&gt;"",V344&lt;&gt;"",W344&lt;&gt;"",X344&lt;&gt;"",Y344&lt;&gt;"",AC344="UNIQUE"),"READY","CHECK")))</f>
        <v/>
      </c>
    </row>
    <row r="345">
      <c r="A345" s="25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37" t="n"/>
      <c r="K345" s="34" t="n"/>
      <c r="L345" s="26" t="n"/>
      <c r="M345" s="37" t="n"/>
      <c r="N345" s="37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34" t="n"/>
      <c r="Y345" s="26" t="n"/>
      <c r="Z345" s="26" t="n"/>
      <c r="AA345" s="26" t="n"/>
      <c r="AB345" s="27" t="n"/>
      <c r="AC345" s="32">
        <f>IF(A345="","",IF(COUNTIF($H$5:$H$1004,H345)&gt;1,"DUPLICATE","UNIQUE"))</f>
        <v/>
      </c>
      <c r="AD345" s="32">
        <f>IF(A345="","",IF(AA345="Rejected",IF(AB345&lt;&gt;"","REJECTED","ADD REASON"),IF(AND(B345&lt;&gt;"",C345&lt;&gt;"",D345&lt;&gt;"",E345&lt;&gt;"",F345&lt;&gt;"",G345&lt;&gt;"",H345&lt;&gt;"",J345&lt;&gt;"",K345&lt;&gt;"",L345&lt;&gt;"",M345&lt;&gt;"",N345&lt;&gt;"",O345&lt;&gt;"",P345&lt;&gt;"",Q345&lt;&gt;"",R345&lt;&gt;"",S345&lt;&gt;"",T345&lt;&gt;"",U345&lt;&gt;"",V345&lt;&gt;"",W345&lt;&gt;"",X345&lt;&gt;"",Y345&lt;&gt;"",AC345="UNIQUE"),"READY","CHECK")))</f>
        <v/>
      </c>
    </row>
    <row r="346">
      <c r="A346" s="25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37" t="n"/>
      <c r="K346" s="34" t="n"/>
      <c r="L346" s="26" t="n"/>
      <c r="M346" s="37" t="n"/>
      <c r="N346" s="37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34" t="n"/>
      <c r="Y346" s="26" t="n"/>
      <c r="Z346" s="26" t="n"/>
      <c r="AA346" s="26" t="n"/>
      <c r="AB346" s="27" t="n"/>
      <c r="AC346" s="32">
        <f>IF(A346="","",IF(COUNTIF($H$5:$H$1004,H346)&gt;1,"DUPLICATE","UNIQUE"))</f>
        <v/>
      </c>
      <c r="AD346" s="32">
        <f>IF(A346="","",IF(AA346="Rejected",IF(AB346&lt;&gt;"","REJECTED","ADD REASON"),IF(AND(B346&lt;&gt;"",C346&lt;&gt;"",D346&lt;&gt;"",E346&lt;&gt;"",F346&lt;&gt;"",G346&lt;&gt;"",H346&lt;&gt;"",J346&lt;&gt;"",K346&lt;&gt;"",L346&lt;&gt;"",M346&lt;&gt;"",N346&lt;&gt;"",O346&lt;&gt;"",P346&lt;&gt;"",Q346&lt;&gt;"",R346&lt;&gt;"",S346&lt;&gt;"",T346&lt;&gt;"",U346&lt;&gt;"",V346&lt;&gt;"",W346&lt;&gt;"",X346&lt;&gt;"",Y346&lt;&gt;"",AC346="UNIQUE"),"READY","CHECK")))</f>
        <v/>
      </c>
    </row>
    <row r="347">
      <c r="A347" s="25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37" t="n"/>
      <c r="K347" s="34" t="n"/>
      <c r="L347" s="26" t="n"/>
      <c r="M347" s="37" t="n"/>
      <c r="N347" s="37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34" t="n"/>
      <c r="Y347" s="26" t="n"/>
      <c r="Z347" s="26" t="n"/>
      <c r="AA347" s="26" t="n"/>
      <c r="AB347" s="27" t="n"/>
      <c r="AC347" s="32">
        <f>IF(A347="","",IF(COUNTIF($H$5:$H$1004,H347)&gt;1,"DUPLICATE","UNIQUE"))</f>
        <v/>
      </c>
      <c r="AD347" s="32">
        <f>IF(A347="","",IF(AA347="Rejected",IF(AB347&lt;&gt;"","REJECTED","ADD REASON"),IF(AND(B347&lt;&gt;"",C347&lt;&gt;"",D347&lt;&gt;"",E347&lt;&gt;"",F347&lt;&gt;"",G347&lt;&gt;"",H347&lt;&gt;"",J347&lt;&gt;"",K347&lt;&gt;"",L347&lt;&gt;"",M347&lt;&gt;"",N347&lt;&gt;"",O347&lt;&gt;"",P347&lt;&gt;"",Q347&lt;&gt;"",R347&lt;&gt;"",S347&lt;&gt;"",T347&lt;&gt;"",U347&lt;&gt;"",V347&lt;&gt;"",W347&lt;&gt;"",X347&lt;&gt;"",Y347&lt;&gt;"",AC347="UNIQUE"),"READY","CHECK")))</f>
        <v/>
      </c>
    </row>
    <row r="348">
      <c r="A348" s="25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37" t="n"/>
      <c r="K348" s="34" t="n"/>
      <c r="L348" s="26" t="n"/>
      <c r="M348" s="37" t="n"/>
      <c r="N348" s="37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34" t="n"/>
      <c r="Y348" s="26" t="n"/>
      <c r="Z348" s="26" t="n"/>
      <c r="AA348" s="26" t="n"/>
      <c r="AB348" s="27" t="n"/>
      <c r="AC348" s="32">
        <f>IF(A348="","",IF(COUNTIF($H$5:$H$1004,H348)&gt;1,"DUPLICATE","UNIQUE"))</f>
        <v/>
      </c>
      <c r="AD348" s="32">
        <f>IF(A348="","",IF(AA348="Rejected",IF(AB348&lt;&gt;"","REJECTED","ADD REASON"),IF(AND(B348&lt;&gt;"",C348&lt;&gt;"",D348&lt;&gt;"",E348&lt;&gt;"",F348&lt;&gt;"",G348&lt;&gt;"",H348&lt;&gt;"",J348&lt;&gt;"",K348&lt;&gt;"",L348&lt;&gt;"",M348&lt;&gt;"",N348&lt;&gt;"",O348&lt;&gt;"",P348&lt;&gt;"",Q348&lt;&gt;"",R348&lt;&gt;"",S348&lt;&gt;"",T348&lt;&gt;"",U348&lt;&gt;"",V348&lt;&gt;"",W348&lt;&gt;"",X348&lt;&gt;"",Y348&lt;&gt;"",AC348="UNIQUE"),"READY","CHECK")))</f>
        <v/>
      </c>
    </row>
    <row r="349">
      <c r="A349" s="25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37" t="n"/>
      <c r="K349" s="34" t="n"/>
      <c r="L349" s="26" t="n"/>
      <c r="M349" s="37" t="n"/>
      <c r="N349" s="37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34" t="n"/>
      <c r="Y349" s="26" t="n"/>
      <c r="Z349" s="26" t="n"/>
      <c r="AA349" s="26" t="n"/>
      <c r="AB349" s="27" t="n"/>
      <c r="AC349" s="32">
        <f>IF(A349="","",IF(COUNTIF($H$5:$H$1004,H349)&gt;1,"DUPLICATE","UNIQUE"))</f>
        <v/>
      </c>
      <c r="AD349" s="32">
        <f>IF(A349="","",IF(AA349="Rejected",IF(AB349&lt;&gt;"","REJECTED","ADD REASON"),IF(AND(B349&lt;&gt;"",C349&lt;&gt;"",D349&lt;&gt;"",E349&lt;&gt;"",F349&lt;&gt;"",G349&lt;&gt;"",H349&lt;&gt;"",J349&lt;&gt;"",K349&lt;&gt;"",L349&lt;&gt;"",M349&lt;&gt;"",N349&lt;&gt;"",O349&lt;&gt;"",P349&lt;&gt;"",Q349&lt;&gt;"",R349&lt;&gt;"",S349&lt;&gt;"",T349&lt;&gt;"",U349&lt;&gt;"",V349&lt;&gt;"",W349&lt;&gt;"",X349&lt;&gt;"",Y349&lt;&gt;"",AC349="UNIQUE"),"READY","CHECK")))</f>
        <v/>
      </c>
    </row>
    <row r="350">
      <c r="A350" s="25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37" t="n"/>
      <c r="K350" s="34" t="n"/>
      <c r="L350" s="26" t="n"/>
      <c r="M350" s="37" t="n"/>
      <c r="N350" s="37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34" t="n"/>
      <c r="Y350" s="26" t="n"/>
      <c r="Z350" s="26" t="n"/>
      <c r="AA350" s="26" t="n"/>
      <c r="AB350" s="27" t="n"/>
      <c r="AC350" s="32">
        <f>IF(A350="","",IF(COUNTIF($H$5:$H$1004,H350)&gt;1,"DUPLICATE","UNIQUE"))</f>
        <v/>
      </c>
      <c r="AD350" s="32">
        <f>IF(A350="","",IF(AA350="Rejected",IF(AB350&lt;&gt;"","REJECTED","ADD REASON"),IF(AND(B350&lt;&gt;"",C350&lt;&gt;"",D350&lt;&gt;"",E350&lt;&gt;"",F350&lt;&gt;"",G350&lt;&gt;"",H350&lt;&gt;"",J350&lt;&gt;"",K350&lt;&gt;"",L350&lt;&gt;"",M350&lt;&gt;"",N350&lt;&gt;"",O350&lt;&gt;"",P350&lt;&gt;"",Q350&lt;&gt;"",R350&lt;&gt;"",S350&lt;&gt;"",T350&lt;&gt;"",U350&lt;&gt;"",V350&lt;&gt;"",W350&lt;&gt;"",X350&lt;&gt;"",Y350&lt;&gt;"",AC350="UNIQUE"),"READY","CHECK")))</f>
        <v/>
      </c>
    </row>
    <row r="351">
      <c r="A351" s="25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37" t="n"/>
      <c r="K351" s="34" t="n"/>
      <c r="L351" s="26" t="n"/>
      <c r="M351" s="37" t="n"/>
      <c r="N351" s="37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34" t="n"/>
      <c r="Y351" s="26" t="n"/>
      <c r="Z351" s="26" t="n"/>
      <c r="AA351" s="26" t="n"/>
      <c r="AB351" s="27" t="n"/>
      <c r="AC351" s="32">
        <f>IF(A351="","",IF(COUNTIF($H$5:$H$1004,H351)&gt;1,"DUPLICATE","UNIQUE"))</f>
        <v/>
      </c>
      <c r="AD351" s="32">
        <f>IF(A351="","",IF(AA351="Rejected",IF(AB351&lt;&gt;"","REJECTED","ADD REASON"),IF(AND(B351&lt;&gt;"",C351&lt;&gt;"",D351&lt;&gt;"",E351&lt;&gt;"",F351&lt;&gt;"",G351&lt;&gt;"",H351&lt;&gt;"",J351&lt;&gt;"",K351&lt;&gt;"",L351&lt;&gt;"",M351&lt;&gt;"",N351&lt;&gt;"",O351&lt;&gt;"",P351&lt;&gt;"",Q351&lt;&gt;"",R351&lt;&gt;"",S351&lt;&gt;"",T351&lt;&gt;"",U351&lt;&gt;"",V351&lt;&gt;"",W351&lt;&gt;"",X351&lt;&gt;"",Y351&lt;&gt;"",AC351="UNIQUE"),"READY","CHECK")))</f>
        <v/>
      </c>
    </row>
    <row r="352">
      <c r="A352" s="25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37" t="n"/>
      <c r="K352" s="34" t="n"/>
      <c r="L352" s="26" t="n"/>
      <c r="M352" s="37" t="n"/>
      <c r="N352" s="37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34" t="n"/>
      <c r="Y352" s="26" t="n"/>
      <c r="Z352" s="26" t="n"/>
      <c r="AA352" s="26" t="n"/>
      <c r="AB352" s="27" t="n"/>
      <c r="AC352" s="32">
        <f>IF(A352="","",IF(COUNTIF($H$5:$H$1004,H352)&gt;1,"DUPLICATE","UNIQUE"))</f>
        <v/>
      </c>
      <c r="AD352" s="32">
        <f>IF(A352="","",IF(AA352="Rejected",IF(AB352&lt;&gt;"","REJECTED","ADD REASON"),IF(AND(B352&lt;&gt;"",C352&lt;&gt;"",D352&lt;&gt;"",E352&lt;&gt;"",F352&lt;&gt;"",G352&lt;&gt;"",H352&lt;&gt;"",J352&lt;&gt;"",K352&lt;&gt;"",L352&lt;&gt;"",M352&lt;&gt;"",N352&lt;&gt;"",O352&lt;&gt;"",P352&lt;&gt;"",Q352&lt;&gt;"",R352&lt;&gt;"",S352&lt;&gt;"",T352&lt;&gt;"",U352&lt;&gt;"",V352&lt;&gt;"",W352&lt;&gt;"",X352&lt;&gt;"",Y352&lt;&gt;"",AC352="UNIQUE"),"READY","CHECK")))</f>
        <v/>
      </c>
    </row>
    <row r="353">
      <c r="A353" s="25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37" t="n"/>
      <c r="K353" s="34" t="n"/>
      <c r="L353" s="26" t="n"/>
      <c r="M353" s="37" t="n"/>
      <c r="N353" s="37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34" t="n"/>
      <c r="Y353" s="26" t="n"/>
      <c r="Z353" s="26" t="n"/>
      <c r="AA353" s="26" t="n"/>
      <c r="AB353" s="27" t="n"/>
      <c r="AC353" s="32">
        <f>IF(A353="","",IF(COUNTIF($H$5:$H$1004,H353)&gt;1,"DUPLICATE","UNIQUE"))</f>
        <v/>
      </c>
      <c r="AD353" s="32">
        <f>IF(A353="","",IF(AA353="Rejected",IF(AB353&lt;&gt;"","REJECTED","ADD REASON"),IF(AND(B353&lt;&gt;"",C353&lt;&gt;"",D353&lt;&gt;"",E353&lt;&gt;"",F353&lt;&gt;"",G353&lt;&gt;"",H353&lt;&gt;"",J353&lt;&gt;"",K353&lt;&gt;"",L353&lt;&gt;"",M353&lt;&gt;"",N353&lt;&gt;"",O353&lt;&gt;"",P353&lt;&gt;"",Q353&lt;&gt;"",R353&lt;&gt;"",S353&lt;&gt;"",T353&lt;&gt;"",U353&lt;&gt;"",V353&lt;&gt;"",W353&lt;&gt;"",X353&lt;&gt;"",Y353&lt;&gt;"",AC353="UNIQUE"),"READY","CHECK")))</f>
        <v/>
      </c>
    </row>
    <row r="354">
      <c r="A354" s="25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37" t="n"/>
      <c r="K354" s="34" t="n"/>
      <c r="L354" s="26" t="n"/>
      <c r="M354" s="37" t="n"/>
      <c r="N354" s="37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34" t="n"/>
      <c r="Y354" s="26" t="n"/>
      <c r="Z354" s="26" t="n"/>
      <c r="AA354" s="26" t="n"/>
      <c r="AB354" s="27" t="n"/>
      <c r="AC354" s="32">
        <f>IF(A354="","",IF(COUNTIF($H$5:$H$1004,H354)&gt;1,"DUPLICATE","UNIQUE"))</f>
        <v/>
      </c>
      <c r="AD354" s="32">
        <f>IF(A354="","",IF(AA354="Rejected",IF(AB354&lt;&gt;"","REJECTED","ADD REASON"),IF(AND(B354&lt;&gt;"",C354&lt;&gt;"",D354&lt;&gt;"",E354&lt;&gt;"",F354&lt;&gt;"",G354&lt;&gt;"",H354&lt;&gt;"",J354&lt;&gt;"",K354&lt;&gt;"",L354&lt;&gt;"",M354&lt;&gt;"",N354&lt;&gt;"",O354&lt;&gt;"",P354&lt;&gt;"",Q354&lt;&gt;"",R354&lt;&gt;"",S354&lt;&gt;"",T354&lt;&gt;"",U354&lt;&gt;"",V354&lt;&gt;"",W354&lt;&gt;"",X354&lt;&gt;"",Y354&lt;&gt;"",AC354="UNIQUE"),"READY","CHECK")))</f>
        <v/>
      </c>
    </row>
    <row r="355">
      <c r="A355" s="25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37" t="n"/>
      <c r="K355" s="34" t="n"/>
      <c r="L355" s="26" t="n"/>
      <c r="M355" s="37" t="n"/>
      <c r="N355" s="37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34" t="n"/>
      <c r="Y355" s="26" t="n"/>
      <c r="Z355" s="26" t="n"/>
      <c r="AA355" s="26" t="n"/>
      <c r="AB355" s="27" t="n"/>
      <c r="AC355" s="32">
        <f>IF(A355="","",IF(COUNTIF($H$5:$H$1004,H355)&gt;1,"DUPLICATE","UNIQUE"))</f>
        <v/>
      </c>
      <c r="AD355" s="32">
        <f>IF(A355="","",IF(AA355="Rejected",IF(AB355&lt;&gt;"","REJECTED","ADD REASON"),IF(AND(B355&lt;&gt;"",C355&lt;&gt;"",D355&lt;&gt;"",E355&lt;&gt;"",F355&lt;&gt;"",G355&lt;&gt;"",H355&lt;&gt;"",J355&lt;&gt;"",K355&lt;&gt;"",L355&lt;&gt;"",M355&lt;&gt;"",N355&lt;&gt;"",O355&lt;&gt;"",P355&lt;&gt;"",Q355&lt;&gt;"",R355&lt;&gt;"",S355&lt;&gt;"",T355&lt;&gt;"",U355&lt;&gt;"",V355&lt;&gt;"",W355&lt;&gt;"",X355&lt;&gt;"",Y355&lt;&gt;"",AC355="UNIQUE"),"READY","CHECK")))</f>
        <v/>
      </c>
    </row>
    <row r="356">
      <c r="A356" s="25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37" t="n"/>
      <c r="K356" s="34" t="n"/>
      <c r="L356" s="26" t="n"/>
      <c r="M356" s="37" t="n"/>
      <c r="N356" s="37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34" t="n"/>
      <c r="Y356" s="26" t="n"/>
      <c r="Z356" s="26" t="n"/>
      <c r="AA356" s="26" t="n"/>
      <c r="AB356" s="27" t="n"/>
      <c r="AC356" s="32">
        <f>IF(A356="","",IF(COUNTIF($H$5:$H$1004,H356)&gt;1,"DUPLICATE","UNIQUE"))</f>
        <v/>
      </c>
      <c r="AD356" s="32">
        <f>IF(A356="","",IF(AA356="Rejected",IF(AB356&lt;&gt;"","REJECTED","ADD REASON"),IF(AND(B356&lt;&gt;"",C356&lt;&gt;"",D356&lt;&gt;"",E356&lt;&gt;"",F356&lt;&gt;"",G356&lt;&gt;"",H356&lt;&gt;"",J356&lt;&gt;"",K356&lt;&gt;"",L356&lt;&gt;"",M356&lt;&gt;"",N356&lt;&gt;"",O356&lt;&gt;"",P356&lt;&gt;"",Q356&lt;&gt;"",R356&lt;&gt;"",S356&lt;&gt;"",T356&lt;&gt;"",U356&lt;&gt;"",V356&lt;&gt;"",W356&lt;&gt;"",X356&lt;&gt;"",Y356&lt;&gt;"",AC356="UNIQUE"),"READY","CHECK")))</f>
        <v/>
      </c>
    </row>
    <row r="357">
      <c r="A357" s="25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37" t="n"/>
      <c r="K357" s="34" t="n"/>
      <c r="L357" s="26" t="n"/>
      <c r="M357" s="37" t="n"/>
      <c r="N357" s="37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34" t="n"/>
      <c r="Y357" s="26" t="n"/>
      <c r="Z357" s="26" t="n"/>
      <c r="AA357" s="26" t="n"/>
      <c r="AB357" s="27" t="n"/>
      <c r="AC357" s="32">
        <f>IF(A357="","",IF(COUNTIF($H$5:$H$1004,H357)&gt;1,"DUPLICATE","UNIQUE"))</f>
        <v/>
      </c>
      <c r="AD357" s="32">
        <f>IF(A357="","",IF(AA357="Rejected",IF(AB357&lt;&gt;"","REJECTED","ADD REASON"),IF(AND(B357&lt;&gt;"",C357&lt;&gt;"",D357&lt;&gt;"",E357&lt;&gt;"",F357&lt;&gt;"",G357&lt;&gt;"",H357&lt;&gt;"",J357&lt;&gt;"",K357&lt;&gt;"",L357&lt;&gt;"",M357&lt;&gt;"",N357&lt;&gt;"",O357&lt;&gt;"",P357&lt;&gt;"",Q357&lt;&gt;"",R357&lt;&gt;"",S357&lt;&gt;"",T357&lt;&gt;"",U357&lt;&gt;"",V357&lt;&gt;"",W357&lt;&gt;"",X357&lt;&gt;"",Y357&lt;&gt;"",AC357="UNIQUE"),"READY","CHECK")))</f>
        <v/>
      </c>
    </row>
    <row r="358">
      <c r="A358" s="25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37" t="n"/>
      <c r="K358" s="34" t="n"/>
      <c r="L358" s="26" t="n"/>
      <c r="M358" s="37" t="n"/>
      <c r="N358" s="37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34" t="n"/>
      <c r="Y358" s="26" t="n"/>
      <c r="Z358" s="26" t="n"/>
      <c r="AA358" s="26" t="n"/>
      <c r="AB358" s="27" t="n"/>
      <c r="AC358" s="32">
        <f>IF(A358="","",IF(COUNTIF($H$5:$H$1004,H358)&gt;1,"DUPLICATE","UNIQUE"))</f>
        <v/>
      </c>
      <c r="AD358" s="32">
        <f>IF(A358="","",IF(AA358="Rejected",IF(AB358&lt;&gt;"","REJECTED","ADD REASON"),IF(AND(B358&lt;&gt;"",C358&lt;&gt;"",D358&lt;&gt;"",E358&lt;&gt;"",F358&lt;&gt;"",G358&lt;&gt;"",H358&lt;&gt;"",J358&lt;&gt;"",K358&lt;&gt;"",L358&lt;&gt;"",M358&lt;&gt;"",N358&lt;&gt;"",O358&lt;&gt;"",P358&lt;&gt;"",Q358&lt;&gt;"",R358&lt;&gt;"",S358&lt;&gt;"",T358&lt;&gt;"",U358&lt;&gt;"",V358&lt;&gt;"",W358&lt;&gt;"",X358&lt;&gt;"",Y358&lt;&gt;"",AC358="UNIQUE"),"READY","CHECK")))</f>
        <v/>
      </c>
    </row>
    <row r="359">
      <c r="A359" s="25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37" t="n"/>
      <c r="K359" s="34" t="n"/>
      <c r="L359" s="26" t="n"/>
      <c r="M359" s="37" t="n"/>
      <c r="N359" s="37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34" t="n"/>
      <c r="Y359" s="26" t="n"/>
      <c r="Z359" s="26" t="n"/>
      <c r="AA359" s="26" t="n"/>
      <c r="AB359" s="27" t="n"/>
      <c r="AC359" s="32">
        <f>IF(A359="","",IF(COUNTIF($H$5:$H$1004,H359)&gt;1,"DUPLICATE","UNIQUE"))</f>
        <v/>
      </c>
      <c r="AD359" s="32">
        <f>IF(A359="","",IF(AA359="Rejected",IF(AB359&lt;&gt;"","REJECTED","ADD REASON"),IF(AND(B359&lt;&gt;"",C359&lt;&gt;"",D359&lt;&gt;"",E359&lt;&gt;"",F359&lt;&gt;"",G359&lt;&gt;"",H359&lt;&gt;"",J359&lt;&gt;"",K359&lt;&gt;"",L359&lt;&gt;"",M359&lt;&gt;"",N359&lt;&gt;"",O359&lt;&gt;"",P359&lt;&gt;"",Q359&lt;&gt;"",R359&lt;&gt;"",S359&lt;&gt;"",T359&lt;&gt;"",U359&lt;&gt;"",V359&lt;&gt;"",W359&lt;&gt;"",X359&lt;&gt;"",Y359&lt;&gt;"",AC359="UNIQUE"),"READY","CHECK")))</f>
        <v/>
      </c>
    </row>
    <row r="360">
      <c r="A360" s="25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37" t="n"/>
      <c r="K360" s="34" t="n"/>
      <c r="L360" s="26" t="n"/>
      <c r="M360" s="37" t="n"/>
      <c r="N360" s="37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34" t="n"/>
      <c r="Y360" s="26" t="n"/>
      <c r="Z360" s="26" t="n"/>
      <c r="AA360" s="26" t="n"/>
      <c r="AB360" s="27" t="n"/>
      <c r="AC360" s="32">
        <f>IF(A360="","",IF(COUNTIF($H$5:$H$1004,H360)&gt;1,"DUPLICATE","UNIQUE"))</f>
        <v/>
      </c>
      <c r="AD360" s="32">
        <f>IF(A360="","",IF(AA360="Rejected",IF(AB360&lt;&gt;"","REJECTED","ADD REASON"),IF(AND(B360&lt;&gt;"",C360&lt;&gt;"",D360&lt;&gt;"",E360&lt;&gt;"",F360&lt;&gt;"",G360&lt;&gt;"",H360&lt;&gt;"",J360&lt;&gt;"",K360&lt;&gt;"",L360&lt;&gt;"",M360&lt;&gt;"",N360&lt;&gt;"",O360&lt;&gt;"",P360&lt;&gt;"",Q360&lt;&gt;"",R360&lt;&gt;"",S360&lt;&gt;"",T360&lt;&gt;"",U360&lt;&gt;"",V360&lt;&gt;"",W360&lt;&gt;"",X360&lt;&gt;"",Y360&lt;&gt;"",AC360="UNIQUE"),"READY","CHECK")))</f>
        <v/>
      </c>
    </row>
    <row r="361">
      <c r="A361" s="25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37" t="n"/>
      <c r="K361" s="34" t="n"/>
      <c r="L361" s="26" t="n"/>
      <c r="M361" s="37" t="n"/>
      <c r="N361" s="37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34" t="n"/>
      <c r="Y361" s="26" t="n"/>
      <c r="Z361" s="26" t="n"/>
      <c r="AA361" s="26" t="n"/>
      <c r="AB361" s="27" t="n"/>
      <c r="AC361" s="32">
        <f>IF(A361="","",IF(COUNTIF($H$5:$H$1004,H361)&gt;1,"DUPLICATE","UNIQUE"))</f>
        <v/>
      </c>
      <c r="AD361" s="32">
        <f>IF(A361="","",IF(AA361="Rejected",IF(AB361&lt;&gt;"","REJECTED","ADD REASON"),IF(AND(B361&lt;&gt;"",C361&lt;&gt;"",D361&lt;&gt;"",E361&lt;&gt;"",F361&lt;&gt;"",G361&lt;&gt;"",H361&lt;&gt;"",J361&lt;&gt;"",K361&lt;&gt;"",L361&lt;&gt;"",M361&lt;&gt;"",N361&lt;&gt;"",O361&lt;&gt;"",P361&lt;&gt;"",Q361&lt;&gt;"",R361&lt;&gt;"",S361&lt;&gt;"",T361&lt;&gt;"",U361&lt;&gt;"",V361&lt;&gt;"",W361&lt;&gt;"",X361&lt;&gt;"",Y361&lt;&gt;"",AC361="UNIQUE"),"READY","CHECK")))</f>
        <v/>
      </c>
    </row>
    <row r="362">
      <c r="A362" s="25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37" t="n"/>
      <c r="K362" s="34" t="n"/>
      <c r="L362" s="26" t="n"/>
      <c r="M362" s="37" t="n"/>
      <c r="N362" s="37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34" t="n"/>
      <c r="Y362" s="26" t="n"/>
      <c r="Z362" s="26" t="n"/>
      <c r="AA362" s="26" t="n"/>
      <c r="AB362" s="27" t="n"/>
      <c r="AC362" s="32">
        <f>IF(A362="","",IF(COUNTIF($H$5:$H$1004,H362)&gt;1,"DUPLICATE","UNIQUE"))</f>
        <v/>
      </c>
      <c r="AD362" s="32">
        <f>IF(A362="","",IF(AA362="Rejected",IF(AB362&lt;&gt;"","REJECTED","ADD REASON"),IF(AND(B362&lt;&gt;"",C362&lt;&gt;"",D362&lt;&gt;"",E362&lt;&gt;"",F362&lt;&gt;"",G362&lt;&gt;"",H362&lt;&gt;"",J362&lt;&gt;"",K362&lt;&gt;"",L362&lt;&gt;"",M362&lt;&gt;"",N362&lt;&gt;"",O362&lt;&gt;"",P362&lt;&gt;"",Q362&lt;&gt;"",R362&lt;&gt;"",S362&lt;&gt;"",T362&lt;&gt;"",U362&lt;&gt;"",V362&lt;&gt;"",W362&lt;&gt;"",X362&lt;&gt;"",Y362&lt;&gt;"",AC362="UNIQUE"),"READY","CHECK")))</f>
        <v/>
      </c>
    </row>
    <row r="363">
      <c r="A363" s="25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37" t="n"/>
      <c r="K363" s="34" t="n"/>
      <c r="L363" s="26" t="n"/>
      <c r="M363" s="37" t="n"/>
      <c r="N363" s="37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34" t="n"/>
      <c r="Y363" s="26" t="n"/>
      <c r="Z363" s="26" t="n"/>
      <c r="AA363" s="26" t="n"/>
      <c r="AB363" s="27" t="n"/>
      <c r="AC363" s="32">
        <f>IF(A363="","",IF(COUNTIF($H$5:$H$1004,H363)&gt;1,"DUPLICATE","UNIQUE"))</f>
        <v/>
      </c>
      <c r="AD363" s="32">
        <f>IF(A363="","",IF(AA363="Rejected",IF(AB363&lt;&gt;"","REJECTED","ADD REASON"),IF(AND(B363&lt;&gt;"",C363&lt;&gt;"",D363&lt;&gt;"",E363&lt;&gt;"",F363&lt;&gt;"",G363&lt;&gt;"",H363&lt;&gt;"",J363&lt;&gt;"",K363&lt;&gt;"",L363&lt;&gt;"",M363&lt;&gt;"",N363&lt;&gt;"",O363&lt;&gt;"",P363&lt;&gt;"",Q363&lt;&gt;"",R363&lt;&gt;"",S363&lt;&gt;"",T363&lt;&gt;"",U363&lt;&gt;"",V363&lt;&gt;"",W363&lt;&gt;"",X363&lt;&gt;"",Y363&lt;&gt;"",AC363="UNIQUE"),"READY","CHECK")))</f>
        <v/>
      </c>
    </row>
    <row r="364">
      <c r="A364" s="25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37" t="n"/>
      <c r="K364" s="34" t="n"/>
      <c r="L364" s="26" t="n"/>
      <c r="M364" s="37" t="n"/>
      <c r="N364" s="37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34" t="n"/>
      <c r="Y364" s="26" t="n"/>
      <c r="Z364" s="26" t="n"/>
      <c r="AA364" s="26" t="n"/>
      <c r="AB364" s="27" t="n"/>
      <c r="AC364" s="32">
        <f>IF(A364="","",IF(COUNTIF($H$5:$H$1004,H364)&gt;1,"DUPLICATE","UNIQUE"))</f>
        <v/>
      </c>
      <c r="AD364" s="32">
        <f>IF(A364="","",IF(AA364="Rejected",IF(AB364&lt;&gt;"","REJECTED","ADD REASON"),IF(AND(B364&lt;&gt;"",C364&lt;&gt;"",D364&lt;&gt;"",E364&lt;&gt;"",F364&lt;&gt;"",G364&lt;&gt;"",H364&lt;&gt;"",J364&lt;&gt;"",K364&lt;&gt;"",L364&lt;&gt;"",M364&lt;&gt;"",N364&lt;&gt;"",O364&lt;&gt;"",P364&lt;&gt;"",Q364&lt;&gt;"",R364&lt;&gt;"",S364&lt;&gt;"",T364&lt;&gt;"",U364&lt;&gt;"",V364&lt;&gt;"",W364&lt;&gt;"",X364&lt;&gt;"",Y364&lt;&gt;"",AC364="UNIQUE"),"READY","CHECK")))</f>
        <v/>
      </c>
    </row>
    <row r="365">
      <c r="A365" s="25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37" t="n"/>
      <c r="K365" s="34" t="n"/>
      <c r="L365" s="26" t="n"/>
      <c r="M365" s="37" t="n"/>
      <c r="N365" s="37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34" t="n"/>
      <c r="Y365" s="26" t="n"/>
      <c r="Z365" s="26" t="n"/>
      <c r="AA365" s="26" t="n"/>
      <c r="AB365" s="27" t="n"/>
      <c r="AC365" s="32">
        <f>IF(A365="","",IF(COUNTIF($H$5:$H$1004,H365)&gt;1,"DUPLICATE","UNIQUE"))</f>
        <v/>
      </c>
      <c r="AD365" s="32">
        <f>IF(A365="","",IF(AA365="Rejected",IF(AB365&lt;&gt;"","REJECTED","ADD REASON"),IF(AND(B365&lt;&gt;"",C365&lt;&gt;"",D365&lt;&gt;"",E365&lt;&gt;"",F365&lt;&gt;"",G365&lt;&gt;"",H365&lt;&gt;"",J365&lt;&gt;"",K365&lt;&gt;"",L365&lt;&gt;"",M365&lt;&gt;"",N365&lt;&gt;"",O365&lt;&gt;"",P365&lt;&gt;"",Q365&lt;&gt;"",R365&lt;&gt;"",S365&lt;&gt;"",T365&lt;&gt;"",U365&lt;&gt;"",V365&lt;&gt;"",W365&lt;&gt;"",X365&lt;&gt;"",Y365&lt;&gt;"",AC365="UNIQUE"),"READY","CHECK")))</f>
        <v/>
      </c>
    </row>
    <row r="366">
      <c r="A366" s="25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37" t="n"/>
      <c r="K366" s="34" t="n"/>
      <c r="L366" s="26" t="n"/>
      <c r="M366" s="37" t="n"/>
      <c r="N366" s="37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34" t="n"/>
      <c r="Y366" s="26" t="n"/>
      <c r="Z366" s="26" t="n"/>
      <c r="AA366" s="26" t="n"/>
      <c r="AB366" s="27" t="n"/>
      <c r="AC366" s="32">
        <f>IF(A366="","",IF(COUNTIF($H$5:$H$1004,H366)&gt;1,"DUPLICATE","UNIQUE"))</f>
        <v/>
      </c>
      <c r="AD366" s="32">
        <f>IF(A366="","",IF(AA366="Rejected",IF(AB366&lt;&gt;"","REJECTED","ADD REASON"),IF(AND(B366&lt;&gt;"",C366&lt;&gt;"",D366&lt;&gt;"",E366&lt;&gt;"",F366&lt;&gt;"",G366&lt;&gt;"",H366&lt;&gt;"",J366&lt;&gt;"",K366&lt;&gt;"",L366&lt;&gt;"",M366&lt;&gt;"",N366&lt;&gt;"",O366&lt;&gt;"",P366&lt;&gt;"",Q366&lt;&gt;"",R366&lt;&gt;"",S366&lt;&gt;"",T366&lt;&gt;"",U366&lt;&gt;"",V366&lt;&gt;"",W366&lt;&gt;"",X366&lt;&gt;"",Y366&lt;&gt;"",AC366="UNIQUE"),"READY","CHECK")))</f>
        <v/>
      </c>
    </row>
    <row r="367">
      <c r="A367" s="25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37" t="n"/>
      <c r="K367" s="34" t="n"/>
      <c r="L367" s="26" t="n"/>
      <c r="M367" s="37" t="n"/>
      <c r="N367" s="37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34" t="n"/>
      <c r="Y367" s="26" t="n"/>
      <c r="Z367" s="26" t="n"/>
      <c r="AA367" s="26" t="n"/>
      <c r="AB367" s="27" t="n"/>
      <c r="AC367" s="32">
        <f>IF(A367="","",IF(COUNTIF($H$5:$H$1004,H367)&gt;1,"DUPLICATE","UNIQUE"))</f>
        <v/>
      </c>
      <c r="AD367" s="32">
        <f>IF(A367="","",IF(AA367="Rejected",IF(AB367&lt;&gt;"","REJECTED","ADD REASON"),IF(AND(B367&lt;&gt;"",C367&lt;&gt;"",D367&lt;&gt;"",E367&lt;&gt;"",F367&lt;&gt;"",G367&lt;&gt;"",H367&lt;&gt;"",J367&lt;&gt;"",K367&lt;&gt;"",L367&lt;&gt;"",M367&lt;&gt;"",N367&lt;&gt;"",O367&lt;&gt;"",P367&lt;&gt;"",Q367&lt;&gt;"",R367&lt;&gt;"",S367&lt;&gt;"",T367&lt;&gt;"",U367&lt;&gt;"",V367&lt;&gt;"",W367&lt;&gt;"",X367&lt;&gt;"",Y367&lt;&gt;"",AC367="UNIQUE"),"READY","CHECK")))</f>
        <v/>
      </c>
    </row>
    <row r="368">
      <c r="A368" s="25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37" t="n"/>
      <c r="K368" s="34" t="n"/>
      <c r="L368" s="26" t="n"/>
      <c r="M368" s="37" t="n"/>
      <c r="N368" s="37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34" t="n"/>
      <c r="Y368" s="26" t="n"/>
      <c r="Z368" s="26" t="n"/>
      <c r="AA368" s="26" t="n"/>
      <c r="AB368" s="27" t="n"/>
      <c r="AC368" s="32">
        <f>IF(A368="","",IF(COUNTIF($H$5:$H$1004,H368)&gt;1,"DUPLICATE","UNIQUE"))</f>
        <v/>
      </c>
      <c r="AD368" s="32">
        <f>IF(A368="","",IF(AA368="Rejected",IF(AB368&lt;&gt;"","REJECTED","ADD REASON"),IF(AND(B368&lt;&gt;"",C368&lt;&gt;"",D368&lt;&gt;"",E368&lt;&gt;"",F368&lt;&gt;"",G368&lt;&gt;"",H368&lt;&gt;"",J368&lt;&gt;"",K368&lt;&gt;"",L368&lt;&gt;"",M368&lt;&gt;"",N368&lt;&gt;"",O368&lt;&gt;"",P368&lt;&gt;"",Q368&lt;&gt;"",R368&lt;&gt;"",S368&lt;&gt;"",T368&lt;&gt;"",U368&lt;&gt;"",V368&lt;&gt;"",W368&lt;&gt;"",X368&lt;&gt;"",Y368&lt;&gt;"",AC368="UNIQUE"),"READY","CHECK")))</f>
        <v/>
      </c>
    </row>
    <row r="369">
      <c r="A369" s="25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37" t="n"/>
      <c r="K369" s="34" t="n"/>
      <c r="L369" s="26" t="n"/>
      <c r="M369" s="37" t="n"/>
      <c r="N369" s="37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34" t="n"/>
      <c r="Y369" s="26" t="n"/>
      <c r="Z369" s="26" t="n"/>
      <c r="AA369" s="26" t="n"/>
      <c r="AB369" s="27" t="n"/>
      <c r="AC369" s="32">
        <f>IF(A369="","",IF(COUNTIF($H$5:$H$1004,H369)&gt;1,"DUPLICATE","UNIQUE"))</f>
        <v/>
      </c>
      <c r="AD369" s="32">
        <f>IF(A369="","",IF(AA369="Rejected",IF(AB369&lt;&gt;"","REJECTED","ADD REASON"),IF(AND(B369&lt;&gt;"",C369&lt;&gt;"",D369&lt;&gt;"",E369&lt;&gt;"",F369&lt;&gt;"",G369&lt;&gt;"",H369&lt;&gt;"",J369&lt;&gt;"",K369&lt;&gt;"",L369&lt;&gt;"",M369&lt;&gt;"",N369&lt;&gt;"",O369&lt;&gt;"",P369&lt;&gt;"",Q369&lt;&gt;"",R369&lt;&gt;"",S369&lt;&gt;"",T369&lt;&gt;"",U369&lt;&gt;"",V369&lt;&gt;"",W369&lt;&gt;"",X369&lt;&gt;"",Y369&lt;&gt;"",AC369="UNIQUE"),"READY","CHECK")))</f>
        <v/>
      </c>
    </row>
    <row r="370">
      <c r="A370" s="25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37" t="n"/>
      <c r="K370" s="34" t="n"/>
      <c r="L370" s="26" t="n"/>
      <c r="M370" s="37" t="n"/>
      <c r="N370" s="37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34" t="n"/>
      <c r="Y370" s="26" t="n"/>
      <c r="Z370" s="26" t="n"/>
      <c r="AA370" s="26" t="n"/>
      <c r="AB370" s="27" t="n"/>
      <c r="AC370" s="32">
        <f>IF(A370="","",IF(COUNTIF($H$5:$H$1004,H370)&gt;1,"DUPLICATE","UNIQUE"))</f>
        <v/>
      </c>
      <c r="AD370" s="32">
        <f>IF(A370="","",IF(AA370="Rejected",IF(AB370&lt;&gt;"","REJECTED","ADD REASON"),IF(AND(B370&lt;&gt;"",C370&lt;&gt;"",D370&lt;&gt;"",E370&lt;&gt;"",F370&lt;&gt;"",G370&lt;&gt;"",H370&lt;&gt;"",J370&lt;&gt;"",K370&lt;&gt;"",L370&lt;&gt;"",M370&lt;&gt;"",N370&lt;&gt;"",O370&lt;&gt;"",P370&lt;&gt;"",Q370&lt;&gt;"",R370&lt;&gt;"",S370&lt;&gt;"",T370&lt;&gt;"",U370&lt;&gt;"",V370&lt;&gt;"",W370&lt;&gt;"",X370&lt;&gt;"",Y370&lt;&gt;"",AC370="UNIQUE"),"READY","CHECK")))</f>
        <v/>
      </c>
    </row>
    <row r="371">
      <c r="A371" s="25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37" t="n"/>
      <c r="K371" s="34" t="n"/>
      <c r="L371" s="26" t="n"/>
      <c r="M371" s="37" t="n"/>
      <c r="N371" s="37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34" t="n"/>
      <c r="Y371" s="26" t="n"/>
      <c r="Z371" s="26" t="n"/>
      <c r="AA371" s="26" t="n"/>
      <c r="AB371" s="27" t="n"/>
      <c r="AC371" s="32">
        <f>IF(A371="","",IF(COUNTIF($H$5:$H$1004,H371)&gt;1,"DUPLICATE","UNIQUE"))</f>
        <v/>
      </c>
      <c r="AD371" s="32">
        <f>IF(A371="","",IF(AA371="Rejected",IF(AB371&lt;&gt;"","REJECTED","ADD REASON"),IF(AND(B371&lt;&gt;"",C371&lt;&gt;"",D371&lt;&gt;"",E371&lt;&gt;"",F371&lt;&gt;"",G371&lt;&gt;"",H371&lt;&gt;"",J371&lt;&gt;"",K371&lt;&gt;"",L371&lt;&gt;"",M371&lt;&gt;"",N371&lt;&gt;"",O371&lt;&gt;"",P371&lt;&gt;"",Q371&lt;&gt;"",R371&lt;&gt;"",S371&lt;&gt;"",T371&lt;&gt;"",U371&lt;&gt;"",V371&lt;&gt;"",W371&lt;&gt;"",X371&lt;&gt;"",Y371&lt;&gt;"",AC371="UNIQUE"),"READY","CHECK")))</f>
        <v/>
      </c>
    </row>
    <row r="372">
      <c r="A372" s="25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37" t="n"/>
      <c r="K372" s="34" t="n"/>
      <c r="L372" s="26" t="n"/>
      <c r="M372" s="37" t="n"/>
      <c r="N372" s="37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34" t="n"/>
      <c r="Y372" s="26" t="n"/>
      <c r="Z372" s="26" t="n"/>
      <c r="AA372" s="26" t="n"/>
      <c r="AB372" s="27" t="n"/>
      <c r="AC372" s="32">
        <f>IF(A372="","",IF(COUNTIF($H$5:$H$1004,H372)&gt;1,"DUPLICATE","UNIQUE"))</f>
        <v/>
      </c>
      <c r="AD372" s="32">
        <f>IF(A372="","",IF(AA372="Rejected",IF(AB372&lt;&gt;"","REJECTED","ADD REASON"),IF(AND(B372&lt;&gt;"",C372&lt;&gt;"",D372&lt;&gt;"",E372&lt;&gt;"",F372&lt;&gt;"",G372&lt;&gt;"",H372&lt;&gt;"",J372&lt;&gt;"",K372&lt;&gt;"",L372&lt;&gt;"",M372&lt;&gt;"",N372&lt;&gt;"",O372&lt;&gt;"",P372&lt;&gt;"",Q372&lt;&gt;"",R372&lt;&gt;"",S372&lt;&gt;"",T372&lt;&gt;"",U372&lt;&gt;"",V372&lt;&gt;"",W372&lt;&gt;"",X372&lt;&gt;"",Y372&lt;&gt;"",AC372="UNIQUE"),"READY","CHECK")))</f>
        <v/>
      </c>
    </row>
    <row r="373">
      <c r="A373" s="25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37" t="n"/>
      <c r="K373" s="34" t="n"/>
      <c r="L373" s="26" t="n"/>
      <c r="M373" s="37" t="n"/>
      <c r="N373" s="37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34" t="n"/>
      <c r="Y373" s="26" t="n"/>
      <c r="Z373" s="26" t="n"/>
      <c r="AA373" s="26" t="n"/>
      <c r="AB373" s="27" t="n"/>
      <c r="AC373" s="32">
        <f>IF(A373="","",IF(COUNTIF($H$5:$H$1004,H373)&gt;1,"DUPLICATE","UNIQUE"))</f>
        <v/>
      </c>
      <c r="AD373" s="32">
        <f>IF(A373="","",IF(AA373="Rejected",IF(AB373&lt;&gt;"","REJECTED","ADD REASON"),IF(AND(B373&lt;&gt;"",C373&lt;&gt;"",D373&lt;&gt;"",E373&lt;&gt;"",F373&lt;&gt;"",G373&lt;&gt;"",H373&lt;&gt;"",J373&lt;&gt;"",K373&lt;&gt;"",L373&lt;&gt;"",M373&lt;&gt;"",N373&lt;&gt;"",O373&lt;&gt;"",P373&lt;&gt;"",Q373&lt;&gt;"",R373&lt;&gt;"",S373&lt;&gt;"",T373&lt;&gt;"",U373&lt;&gt;"",V373&lt;&gt;"",W373&lt;&gt;"",X373&lt;&gt;"",Y373&lt;&gt;"",AC373="UNIQUE"),"READY","CHECK")))</f>
        <v/>
      </c>
    </row>
    <row r="374">
      <c r="A374" s="25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37" t="n"/>
      <c r="K374" s="34" t="n"/>
      <c r="L374" s="26" t="n"/>
      <c r="M374" s="37" t="n"/>
      <c r="N374" s="37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34" t="n"/>
      <c r="Y374" s="26" t="n"/>
      <c r="Z374" s="26" t="n"/>
      <c r="AA374" s="26" t="n"/>
      <c r="AB374" s="27" t="n"/>
      <c r="AC374" s="32">
        <f>IF(A374="","",IF(COUNTIF($H$5:$H$1004,H374)&gt;1,"DUPLICATE","UNIQUE"))</f>
        <v/>
      </c>
      <c r="AD374" s="32">
        <f>IF(A374="","",IF(AA374="Rejected",IF(AB374&lt;&gt;"","REJECTED","ADD REASON"),IF(AND(B374&lt;&gt;"",C374&lt;&gt;"",D374&lt;&gt;"",E374&lt;&gt;"",F374&lt;&gt;"",G374&lt;&gt;"",H374&lt;&gt;"",J374&lt;&gt;"",K374&lt;&gt;"",L374&lt;&gt;"",M374&lt;&gt;"",N374&lt;&gt;"",O374&lt;&gt;"",P374&lt;&gt;"",Q374&lt;&gt;"",R374&lt;&gt;"",S374&lt;&gt;"",T374&lt;&gt;"",U374&lt;&gt;"",V374&lt;&gt;"",W374&lt;&gt;"",X374&lt;&gt;"",Y374&lt;&gt;"",AC374="UNIQUE"),"READY","CHECK")))</f>
        <v/>
      </c>
    </row>
    <row r="375">
      <c r="A375" s="25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37" t="n"/>
      <c r="K375" s="34" t="n"/>
      <c r="L375" s="26" t="n"/>
      <c r="M375" s="37" t="n"/>
      <c r="N375" s="37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34" t="n"/>
      <c r="Y375" s="26" t="n"/>
      <c r="Z375" s="26" t="n"/>
      <c r="AA375" s="26" t="n"/>
      <c r="AB375" s="27" t="n"/>
      <c r="AC375" s="32">
        <f>IF(A375="","",IF(COUNTIF($H$5:$H$1004,H375)&gt;1,"DUPLICATE","UNIQUE"))</f>
        <v/>
      </c>
      <c r="AD375" s="32">
        <f>IF(A375="","",IF(AA375="Rejected",IF(AB375&lt;&gt;"","REJECTED","ADD REASON"),IF(AND(B375&lt;&gt;"",C375&lt;&gt;"",D375&lt;&gt;"",E375&lt;&gt;"",F375&lt;&gt;"",G375&lt;&gt;"",H375&lt;&gt;"",J375&lt;&gt;"",K375&lt;&gt;"",L375&lt;&gt;"",M375&lt;&gt;"",N375&lt;&gt;"",O375&lt;&gt;"",P375&lt;&gt;"",Q375&lt;&gt;"",R375&lt;&gt;"",S375&lt;&gt;"",T375&lt;&gt;"",U375&lt;&gt;"",V375&lt;&gt;"",W375&lt;&gt;"",X375&lt;&gt;"",Y375&lt;&gt;"",AC375="UNIQUE"),"READY","CHECK")))</f>
        <v/>
      </c>
    </row>
    <row r="376">
      <c r="A376" s="25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37" t="n"/>
      <c r="K376" s="34" t="n"/>
      <c r="L376" s="26" t="n"/>
      <c r="M376" s="37" t="n"/>
      <c r="N376" s="37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34" t="n"/>
      <c r="Y376" s="26" t="n"/>
      <c r="Z376" s="26" t="n"/>
      <c r="AA376" s="26" t="n"/>
      <c r="AB376" s="27" t="n"/>
      <c r="AC376" s="32">
        <f>IF(A376="","",IF(COUNTIF($H$5:$H$1004,H376)&gt;1,"DUPLICATE","UNIQUE"))</f>
        <v/>
      </c>
      <c r="AD376" s="32">
        <f>IF(A376="","",IF(AA376="Rejected",IF(AB376&lt;&gt;"","REJECTED","ADD REASON"),IF(AND(B376&lt;&gt;"",C376&lt;&gt;"",D376&lt;&gt;"",E376&lt;&gt;"",F376&lt;&gt;"",G376&lt;&gt;"",H376&lt;&gt;"",J376&lt;&gt;"",K376&lt;&gt;"",L376&lt;&gt;"",M376&lt;&gt;"",N376&lt;&gt;"",O376&lt;&gt;"",P376&lt;&gt;"",Q376&lt;&gt;"",R376&lt;&gt;"",S376&lt;&gt;"",T376&lt;&gt;"",U376&lt;&gt;"",V376&lt;&gt;"",W376&lt;&gt;"",X376&lt;&gt;"",Y376&lt;&gt;"",AC376="UNIQUE"),"READY","CHECK")))</f>
        <v/>
      </c>
    </row>
    <row r="377">
      <c r="A377" s="25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37" t="n"/>
      <c r="K377" s="34" t="n"/>
      <c r="L377" s="26" t="n"/>
      <c r="M377" s="37" t="n"/>
      <c r="N377" s="37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34" t="n"/>
      <c r="Y377" s="26" t="n"/>
      <c r="Z377" s="26" t="n"/>
      <c r="AA377" s="26" t="n"/>
      <c r="AB377" s="27" t="n"/>
      <c r="AC377" s="32">
        <f>IF(A377="","",IF(COUNTIF($H$5:$H$1004,H377)&gt;1,"DUPLICATE","UNIQUE"))</f>
        <v/>
      </c>
      <c r="AD377" s="32">
        <f>IF(A377="","",IF(AA377="Rejected",IF(AB377&lt;&gt;"","REJECTED","ADD REASON"),IF(AND(B377&lt;&gt;"",C377&lt;&gt;"",D377&lt;&gt;"",E377&lt;&gt;"",F377&lt;&gt;"",G377&lt;&gt;"",H377&lt;&gt;"",J377&lt;&gt;"",K377&lt;&gt;"",L377&lt;&gt;"",M377&lt;&gt;"",N377&lt;&gt;"",O377&lt;&gt;"",P377&lt;&gt;"",Q377&lt;&gt;"",R377&lt;&gt;"",S377&lt;&gt;"",T377&lt;&gt;"",U377&lt;&gt;"",V377&lt;&gt;"",W377&lt;&gt;"",X377&lt;&gt;"",Y377&lt;&gt;"",AC377="UNIQUE"),"READY","CHECK")))</f>
        <v/>
      </c>
    </row>
    <row r="378">
      <c r="A378" s="25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37" t="n"/>
      <c r="K378" s="34" t="n"/>
      <c r="L378" s="26" t="n"/>
      <c r="M378" s="37" t="n"/>
      <c r="N378" s="37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34" t="n"/>
      <c r="Y378" s="26" t="n"/>
      <c r="Z378" s="26" t="n"/>
      <c r="AA378" s="26" t="n"/>
      <c r="AB378" s="27" t="n"/>
      <c r="AC378" s="32">
        <f>IF(A378="","",IF(COUNTIF($H$5:$H$1004,H378)&gt;1,"DUPLICATE","UNIQUE"))</f>
        <v/>
      </c>
      <c r="AD378" s="32">
        <f>IF(A378="","",IF(AA378="Rejected",IF(AB378&lt;&gt;"","REJECTED","ADD REASON"),IF(AND(B378&lt;&gt;"",C378&lt;&gt;"",D378&lt;&gt;"",E378&lt;&gt;"",F378&lt;&gt;"",G378&lt;&gt;"",H378&lt;&gt;"",J378&lt;&gt;"",K378&lt;&gt;"",L378&lt;&gt;"",M378&lt;&gt;"",N378&lt;&gt;"",O378&lt;&gt;"",P378&lt;&gt;"",Q378&lt;&gt;"",R378&lt;&gt;"",S378&lt;&gt;"",T378&lt;&gt;"",U378&lt;&gt;"",V378&lt;&gt;"",W378&lt;&gt;"",X378&lt;&gt;"",Y378&lt;&gt;"",AC378="UNIQUE"),"READY","CHECK")))</f>
        <v/>
      </c>
    </row>
    <row r="379">
      <c r="A379" s="25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37" t="n"/>
      <c r="K379" s="34" t="n"/>
      <c r="L379" s="26" t="n"/>
      <c r="M379" s="37" t="n"/>
      <c r="N379" s="37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34" t="n"/>
      <c r="Y379" s="26" t="n"/>
      <c r="Z379" s="26" t="n"/>
      <c r="AA379" s="26" t="n"/>
      <c r="AB379" s="27" t="n"/>
      <c r="AC379" s="32">
        <f>IF(A379="","",IF(COUNTIF($H$5:$H$1004,H379)&gt;1,"DUPLICATE","UNIQUE"))</f>
        <v/>
      </c>
      <c r="AD379" s="32">
        <f>IF(A379="","",IF(AA379="Rejected",IF(AB379&lt;&gt;"","REJECTED","ADD REASON"),IF(AND(B379&lt;&gt;"",C379&lt;&gt;"",D379&lt;&gt;"",E379&lt;&gt;"",F379&lt;&gt;"",G379&lt;&gt;"",H379&lt;&gt;"",J379&lt;&gt;"",K379&lt;&gt;"",L379&lt;&gt;"",M379&lt;&gt;"",N379&lt;&gt;"",O379&lt;&gt;"",P379&lt;&gt;"",Q379&lt;&gt;"",R379&lt;&gt;"",S379&lt;&gt;"",T379&lt;&gt;"",U379&lt;&gt;"",V379&lt;&gt;"",W379&lt;&gt;"",X379&lt;&gt;"",Y379&lt;&gt;"",AC379="UNIQUE"),"READY","CHECK")))</f>
        <v/>
      </c>
    </row>
    <row r="380">
      <c r="A380" s="25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37" t="n"/>
      <c r="K380" s="34" t="n"/>
      <c r="L380" s="26" t="n"/>
      <c r="M380" s="37" t="n"/>
      <c r="N380" s="37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34" t="n"/>
      <c r="Y380" s="26" t="n"/>
      <c r="Z380" s="26" t="n"/>
      <c r="AA380" s="26" t="n"/>
      <c r="AB380" s="27" t="n"/>
      <c r="AC380" s="32">
        <f>IF(A380="","",IF(COUNTIF($H$5:$H$1004,H380)&gt;1,"DUPLICATE","UNIQUE"))</f>
        <v/>
      </c>
      <c r="AD380" s="32">
        <f>IF(A380="","",IF(AA380="Rejected",IF(AB380&lt;&gt;"","REJECTED","ADD REASON"),IF(AND(B380&lt;&gt;"",C380&lt;&gt;"",D380&lt;&gt;"",E380&lt;&gt;"",F380&lt;&gt;"",G380&lt;&gt;"",H380&lt;&gt;"",J380&lt;&gt;"",K380&lt;&gt;"",L380&lt;&gt;"",M380&lt;&gt;"",N380&lt;&gt;"",O380&lt;&gt;"",P380&lt;&gt;"",Q380&lt;&gt;"",R380&lt;&gt;"",S380&lt;&gt;"",T380&lt;&gt;"",U380&lt;&gt;"",V380&lt;&gt;"",W380&lt;&gt;"",X380&lt;&gt;"",Y380&lt;&gt;"",AC380="UNIQUE"),"READY","CHECK")))</f>
        <v/>
      </c>
    </row>
    <row r="381">
      <c r="A381" s="25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37" t="n"/>
      <c r="K381" s="34" t="n"/>
      <c r="L381" s="26" t="n"/>
      <c r="M381" s="37" t="n"/>
      <c r="N381" s="37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34" t="n"/>
      <c r="Y381" s="26" t="n"/>
      <c r="Z381" s="26" t="n"/>
      <c r="AA381" s="26" t="n"/>
      <c r="AB381" s="27" t="n"/>
      <c r="AC381" s="32">
        <f>IF(A381="","",IF(COUNTIF($H$5:$H$1004,H381)&gt;1,"DUPLICATE","UNIQUE"))</f>
        <v/>
      </c>
      <c r="AD381" s="32">
        <f>IF(A381="","",IF(AA381="Rejected",IF(AB381&lt;&gt;"","REJECTED","ADD REASON"),IF(AND(B381&lt;&gt;"",C381&lt;&gt;"",D381&lt;&gt;"",E381&lt;&gt;"",F381&lt;&gt;"",G381&lt;&gt;"",H381&lt;&gt;"",J381&lt;&gt;"",K381&lt;&gt;"",L381&lt;&gt;"",M381&lt;&gt;"",N381&lt;&gt;"",O381&lt;&gt;"",P381&lt;&gt;"",Q381&lt;&gt;"",R381&lt;&gt;"",S381&lt;&gt;"",T381&lt;&gt;"",U381&lt;&gt;"",V381&lt;&gt;"",W381&lt;&gt;"",X381&lt;&gt;"",Y381&lt;&gt;"",AC381="UNIQUE"),"READY","CHECK")))</f>
        <v/>
      </c>
    </row>
    <row r="382">
      <c r="A382" s="25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37" t="n"/>
      <c r="K382" s="34" t="n"/>
      <c r="L382" s="26" t="n"/>
      <c r="M382" s="37" t="n"/>
      <c r="N382" s="37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34" t="n"/>
      <c r="Y382" s="26" t="n"/>
      <c r="Z382" s="26" t="n"/>
      <c r="AA382" s="26" t="n"/>
      <c r="AB382" s="27" t="n"/>
      <c r="AC382" s="32">
        <f>IF(A382="","",IF(COUNTIF($H$5:$H$1004,H382)&gt;1,"DUPLICATE","UNIQUE"))</f>
        <v/>
      </c>
      <c r="AD382" s="32">
        <f>IF(A382="","",IF(AA382="Rejected",IF(AB382&lt;&gt;"","REJECTED","ADD REASON"),IF(AND(B382&lt;&gt;"",C382&lt;&gt;"",D382&lt;&gt;"",E382&lt;&gt;"",F382&lt;&gt;"",G382&lt;&gt;"",H382&lt;&gt;"",J382&lt;&gt;"",K382&lt;&gt;"",L382&lt;&gt;"",M382&lt;&gt;"",N382&lt;&gt;"",O382&lt;&gt;"",P382&lt;&gt;"",Q382&lt;&gt;"",R382&lt;&gt;"",S382&lt;&gt;"",T382&lt;&gt;"",U382&lt;&gt;"",V382&lt;&gt;"",W382&lt;&gt;"",X382&lt;&gt;"",Y382&lt;&gt;"",AC382="UNIQUE"),"READY","CHECK")))</f>
        <v/>
      </c>
    </row>
    <row r="383">
      <c r="A383" s="25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37" t="n"/>
      <c r="K383" s="34" t="n"/>
      <c r="L383" s="26" t="n"/>
      <c r="M383" s="37" t="n"/>
      <c r="N383" s="37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34" t="n"/>
      <c r="Y383" s="26" t="n"/>
      <c r="Z383" s="26" t="n"/>
      <c r="AA383" s="26" t="n"/>
      <c r="AB383" s="27" t="n"/>
      <c r="AC383" s="32">
        <f>IF(A383="","",IF(COUNTIF($H$5:$H$1004,H383)&gt;1,"DUPLICATE","UNIQUE"))</f>
        <v/>
      </c>
      <c r="AD383" s="32">
        <f>IF(A383="","",IF(AA383="Rejected",IF(AB383&lt;&gt;"","REJECTED","ADD REASON"),IF(AND(B383&lt;&gt;"",C383&lt;&gt;"",D383&lt;&gt;"",E383&lt;&gt;"",F383&lt;&gt;"",G383&lt;&gt;"",H383&lt;&gt;"",J383&lt;&gt;"",K383&lt;&gt;"",L383&lt;&gt;"",M383&lt;&gt;"",N383&lt;&gt;"",O383&lt;&gt;"",P383&lt;&gt;"",Q383&lt;&gt;"",R383&lt;&gt;"",S383&lt;&gt;"",T383&lt;&gt;"",U383&lt;&gt;"",V383&lt;&gt;"",W383&lt;&gt;"",X383&lt;&gt;"",Y383&lt;&gt;"",AC383="UNIQUE"),"READY","CHECK")))</f>
        <v/>
      </c>
    </row>
    <row r="384">
      <c r="A384" s="25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37" t="n"/>
      <c r="K384" s="34" t="n"/>
      <c r="L384" s="26" t="n"/>
      <c r="M384" s="37" t="n"/>
      <c r="N384" s="37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34" t="n"/>
      <c r="Y384" s="26" t="n"/>
      <c r="Z384" s="26" t="n"/>
      <c r="AA384" s="26" t="n"/>
      <c r="AB384" s="27" t="n"/>
      <c r="AC384" s="32">
        <f>IF(A384="","",IF(COUNTIF($H$5:$H$1004,H384)&gt;1,"DUPLICATE","UNIQUE"))</f>
        <v/>
      </c>
      <c r="AD384" s="32">
        <f>IF(A384="","",IF(AA384="Rejected",IF(AB384&lt;&gt;"","REJECTED","ADD REASON"),IF(AND(B384&lt;&gt;"",C384&lt;&gt;"",D384&lt;&gt;"",E384&lt;&gt;"",F384&lt;&gt;"",G384&lt;&gt;"",H384&lt;&gt;"",J384&lt;&gt;"",K384&lt;&gt;"",L384&lt;&gt;"",M384&lt;&gt;"",N384&lt;&gt;"",O384&lt;&gt;"",P384&lt;&gt;"",Q384&lt;&gt;"",R384&lt;&gt;"",S384&lt;&gt;"",T384&lt;&gt;"",U384&lt;&gt;"",V384&lt;&gt;"",W384&lt;&gt;"",X384&lt;&gt;"",Y384&lt;&gt;"",AC384="UNIQUE"),"READY","CHECK")))</f>
        <v/>
      </c>
    </row>
    <row r="385">
      <c r="A385" s="25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37" t="n"/>
      <c r="K385" s="34" t="n"/>
      <c r="L385" s="26" t="n"/>
      <c r="M385" s="37" t="n"/>
      <c r="N385" s="37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34" t="n"/>
      <c r="Y385" s="26" t="n"/>
      <c r="Z385" s="26" t="n"/>
      <c r="AA385" s="26" t="n"/>
      <c r="AB385" s="27" t="n"/>
      <c r="AC385" s="32">
        <f>IF(A385="","",IF(COUNTIF($H$5:$H$1004,H385)&gt;1,"DUPLICATE","UNIQUE"))</f>
        <v/>
      </c>
      <c r="AD385" s="32">
        <f>IF(A385="","",IF(AA385="Rejected",IF(AB385&lt;&gt;"","REJECTED","ADD REASON"),IF(AND(B385&lt;&gt;"",C385&lt;&gt;"",D385&lt;&gt;"",E385&lt;&gt;"",F385&lt;&gt;"",G385&lt;&gt;"",H385&lt;&gt;"",J385&lt;&gt;"",K385&lt;&gt;"",L385&lt;&gt;"",M385&lt;&gt;"",N385&lt;&gt;"",O385&lt;&gt;"",P385&lt;&gt;"",Q385&lt;&gt;"",R385&lt;&gt;"",S385&lt;&gt;"",T385&lt;&gt;"",U385&lt;&gt;"",V385&lt;&gt;"",W385&lt;&gt;"",X385&lt;&gt;"",Y385&lt;&gt;"",AC385="UNIQUE"),"READY","CHECK")))</f>
        <v/>
      </c>
    </row>
    <row r="386">
      <c r="A386" s="25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37" t="n"/>
      <c r="K386" s="34" t="n"/>
      <c r="L386" s="26" t="n"/>
      <c r="M386" s="37" t="n"/>
      <c r="N386" s="37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34" t="n"/>
      <c r="Y386" s="26" t="n"/>
      <c r="Z386" s="26" t="n"/>
      <c r="AA386" s="26" t="n"/>
      <c r="AB386" s="27" t="n"/>
      <c r="AC386" s="32">
        <f>IF(A386="","",IF(COUNTIF($H$5:$H$1004,H386)&gt;1,"DUPLICATE","UNIQUE"))</f>
        <v/>
      </c>
      <c r="AD386" s="32">
        <f>IF(A386="","",IF(AA386="Rejected",IF(AB386&lt;&gt;"","REJECTED","ADD REASON"),IF(AND(B386&lt;&gt;"",C386&lt;&gt;"",D386&lt;&gt;"",E386&lt;&gt;"",F386&lt;&gt;"",G386&lt;&gt;"",H386&lt;&gt;"",J386&lt;&gt;"",K386&lt;&gt;"",L386&lt;&gt;"",M386&lt;&gt;"",N386&lt;&gt;"",O386&lt;&gt;"",P386&lt;&gt;"",Q386&lt;&gt;"",R386&lt;&gt;"",S386&lt;&gt;"",T386&lt;&gt;"",U386&lt;&gt;"",V386&lt;&gt;"",W386&lt;&gt;"",X386&lt;&gt;"",Y386&lt;&gt;"",AC386="UNIQUE"),"READY","CHECK")))</f>
        <v/>
      </c>
    </row>
    <row r="387">
      <c r="A387" s="25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37" t="n"/>
      <c r="K387" s="34" t="n"/>
      <c r="L387" s="26" t="n"/>
      <c r="M387" s="37" t="n"/>
      <c r="N387" s="37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34" t="n"/>
      <c r="Y387" s="26" t="n"/>
      <c r="Z387" s="26" t="n"/>
      <c r="AA387" s="26" t="n"/>
      <c r="AB387" s="27" t="n"/>
      <c r="AC387" s="32">
        <f>IF(A387="","",IF(COUNTIF($H$5:$H$1004,H387)&gt;1,"DUPLICATE","UNIQUE"))</f>
        <v/>
      </c>
      <c r="AD387" s="32">
        <f>IF(A387="","",IF(AA387="Rejected",IF(AB387&lt;&gt;"","REJECTED","ADD REASON"),IF(AND(B387&lt;&gt;"",C387&lt;&gt;"",D387&lt;&gt;"",E387&lt;&gt;"",F387&lt;&gt;"",G387&lt;&gt;"",H387&lt;&gt;"",J387&lt;&gt;"",K387&lt;&gt;"",L387&lt;&gt;"",M387&lt;&gt;"",N387&lt;&gt;"",O387&lt;&gt;"",P387&lt;&gt;"",Q387&lt;&gt;"",R387&lt;&gt;"",S387&lt;&gt;"",T387&lt;&gt;"",U387&lt;&gt;"",V387&lt;&gt;"",W387&lt;&gt;"",X387&lt;&gt;"",Y387&lt;&gt;"",AC387="UNIQUE"),"READY","CHECK")))</f>
        <v/>
      </c>
    </row>
    <row r="388">
      <c r="A388" s="25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37" t="n"/>
      <c r="K388" s="34" t="n"/>
      <c r="L388" s="26" t="n"/>
      <c r="M388" s="37" t="n"/>
      <c r="N388" s="37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34" t="n"/>
      <c r="Y388" s="26" t="n"/>
      <c r="Z388" s="26" t="n"/>
      <c r="AA388" s="26" t="n"/>
      <c r="AB388" s="27" t="n"/>
      <c r="AC388" s="32">
        <f>IF(A388="","",IF(COUNTIF($H$5:$H$1004,H388)&gt;1,"DUPLICATE","UNIQUE"))</f>
        <v/>
      </c>
      <c r="AD388" s="32">
        <f>IF(A388="","",IF(AA388="Rejected",IF(AB388&lt;&gt;"","REJECTED","ADD REASON"),IF(AND(B388&lt;&gt;"",C388&lt;&gt;"",D388&lt;&gt;"",E388&lt;&gt;"",F388&lt;&gt;"",G388&lt;&gt;"",H388&lt;&gt;"",J388&lt;&gt;"",K388&lt;&gt;"",L388&lt;&gt;"",M388&lt;&gt;"",N388&lt;&gt;"",O388&lt;&gt;"",P388&lt;&gt;"",Q388&lt;&gt;"",R388&lt;&gt;"",S388&lt;&gt;"",T388&lt;&gt;"",U388&lt;&gt;"",V388&lt;&gt;"",W388&lt;&gt;"",X388&lt;&gt;"",Y388&lt;&gt;"",AC388="UNIQUE"),"READY","CHECK")))</f>
        <v/>
      </c>
    </row>
    <row r="389">
      <c r="A389" s="25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37" t="n"/>
      <c r="K389" s="34" t="n"/>
      <c r="L389" s="26" t="n"/>
      <c r="M389" s="37" t="n"/>
      <c r="N389" s="37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34" t="n"/>
      <c r="Y389" s="26" t="n"/>
      <c r="Z389" s="26" t="n"/>
      <c r="AA389" s="26" t="n"/>
      <c r="AB389" s="27" t="n"/>
      <c r="AC389" s="32">
        <f>IF(A389="","",IF(COUNTIF($H$5:$H$1004,H389)&gt;1,"DUPLICATE","UNIQUE"))</f>
        <v/>
      </c>
      <c r="AD389" s="32">
        <f>IF(A389="","",IF(AA389="Rejected",IF(AB389&lt;&gt;"","REJECTED","ADD REASON"),IF(AND(B389&lt;&gt;"",C389&lt;&gt;"",D389&lt;&gt;"",E389&lt;&gt;"",F389&lt;&gt;"",G389&lt;&gt;"",H389&lt;&gt;"",J389&lt;&gt;"",K389&lt;&gt;"",L389&lt;&gt;"",M389&lt;&gt;"",N389&lt;&gt;"",O389&lt;&gt;"",P389&lt;&gt;"",Q389&lt;&gt;"",R389&lt;&gt;"",S389&lt;&gt;"",T389&lt;&gt;"",U389&lt;&gt;"",V389&lt;&gt;"",W389&lt;&gt;"",X389&lt;&gt;"",Y389&lt;&gt;"",AC389="UNIQUE"),"READY","CHECK")))</f>
        <v/>
      </c>
    </row>
    <row r="390">
      <c r="A390" s="25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37" t="n"/>
      <c r="K390" s="34" t="n"/>
      <c r="L390" s="26" t="n"/>
      <c r="M390" s="37" t="n"/>
      <c r="N390" s="37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34" t="n"/>
      <c r="Y390" s="26" t="n"/>
      <c r="Z390" s="26" t="n"/>
      <c r="AA390" s="26" t="n"/>
      <c r="AB390" s="27" t="n"/>
      <c r="AC390" s="32">
        <f>IF(A390="","",IF(COUNTIF($H$5:$H$1004,H390)&gt;1,"DUPLICATE","UNIQUE"))</f>
        <v/>
      </c>
      <c r="AD390" s="32">
        <f>IF(A390="","",IF(AA390="Rejected",IF(AB390&lt;&gt;"","REJECTED","ADD REASON"),IF(AND(B390&lt;&gt;"",C390&lt;&gt;"",D390&lt;&gt;"",E390&lt;&gt;"",F390&lt;&gt;"",G390&lt;&gt;"",H390&lt;&gt;"",J390&lt;&gt;"",K390&lt;&gt;"",L390&lt;&gt;"",M390&lt;&gt;"",N390&lt;&gt;"",O390&lt;&gt;"",P390&lt;&gt;"",Q390&lt;&gt;"",R390&lt;&gt;"",S390&lt;&gt;"",T390&lt;&gt;"",U390&lt;&gt;"",V390&lt;&gt;"",W390&lt;&gt;"",X390&lt;&gt;"",Y390&lt;&gt;"",AC390="UNIQUE"),"READY","CHECK")))</f>
        <v/>
      </c>
    </row>
    <row r="391">
      <c r="A391" s="25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37" t="n"/>
      <c r="K391" s="34" t="n"/>
      <c r="L391" s="26" t="n"/>
      <c r="M391" s="37" t="n"/>
      <c r="N391" s="37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34" t="n"/>
      <c r="Y391" s="26" t="n"/>
      <c r="Z391" s="26" t="n"/>
      <c r="AA391" s="26" t="n"/>
      <c r="AB391" s="27" t="n"/>
      <c r="AC391" s="32">
        <f>IF(A391="","",IF(COUNTIF($H$5:$H$1004,H391)&gt;1,"DUPLICATE","UNIQUE"))</f>
        <v/>
      </c>
      <c r="AD391" s="32">
        <f>IF(A391="","",IF(AA391="Rejected",IF(AB391&lt;&gt;"","REJECTED","ADD REASON"),IF(AND(B391&lt;&gt;"",C391&lt;&gt;"",D391&lt;&gt;"",E391&lt;&gt;"",F391&lt;&gt;"",G391&lt;&gt;"",H391&lt;&gt;"",J391&lt;&gt;"",K391&lt;&gt;"",L391&lt;&gt;"",M391&lt;&gt;"",N391&lt;&gt;"",O391&lt;&gt;"",P391&lt;&gt;"",Q391&lt;&gt;"",R391&lt;&gt;"",S391&lt;&gt;"",T391&lt;&gt;"",U391&lt;&gt;"",V391&lt;&gt;"",W391&lt;&gt;"",X391&lt;&gt;"",Y391&lt;&gt;"",AC391="UNIQUE"),"READY","CHECK")))</f>
        <v/>
      </c>
    </row>
    <row r="392">
      <c r="A392" s="25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37" t="n"/>
      <c r="K392" s="34" t="n"/>
      <c r="L392" s="26" t="n"/>
      <c r="M392" s="37" t="n"/>
      <c r="N392" s="37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34" t="n"/>
      <c r="Y392" s="26" t="n"/>
      <c r="Z392" s="26" t="n"/>
      <c r="AA392" s="26" t="n"/>
      <c r="AB392" s="27" t="n"/>
      <c r="AC392" s="32">
        <f>IF(A392="","",IF(COUNTIF($H$5:$H$1004,H392)&gt;1,"DUPLICATE","UNIQUE"))</f>
        <v/>
      </c>
      <c r="AD392" s="32">
        <f>IF(A392="","",IF(AA392="Rejected",IF(AB392&lt;&gt;"","REJECTED","ADD REASON"),IF(AND(B392&lt;&gt;"",C392&lt;&gt;"",D392&lt;&gt;"",E392&lt;&gt;"",F392&lt;&gt;"",G392&lt;&gt;"",H392&lt;&gt;"",J392&lt;&gt;"",K392&lt;&gt;"",L392&lt;&gt;"",M392&lt;&gt;"",N392&lt;&gt;"",O392&lt;&gt;"",P392&lt;&gt;"",Q392&lt;&gt;"",R392&lt;&gt;"",S392&lt;&gt;"",T392&lt;&gt;"",U392&lt;&gt;"",V392&lt;&gt;"",W392&lt;&gt;"",X392&lt;&gt;"",Y392&lt;&gt;"",AC392="UNIQUE"),"READY","CHECK")))</f>
        <v/>
      </c>
    </row>
    <row r="393">
      <c r="A393" s="25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37" t="n"/>
      <c r="K393" s="34" t="n"/>
      <c r="L393" s="26" t="n"/>
      <c r="M393" s="37" t="n"/>
      <c r="N393" s="37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34" t="n"/>
      <c r="Y393" s="26" t="n"/>
      <c r="Z393" s="26" t="n"/>
      <c r="AA393" s="26" t="n"/>
      <c r="AB393" s="27" t="n"/>
      <c r="AC393" s="32">
        <f>IF(A393="","",IF(COUNTIF($H$5:$H$1004,H393)&gt;1,"DUPLICATE","UNIQUE"))</f>
        <v/>
      </c>
      <c r="AD393" s="32">
        <f>IF(A393="","",IF(AA393="Rejected",IF(AB393&lt;&gt;"","REJECTED","ADD REASON"),IF(AND(B393&lt;&gt;"",C393&lt;&gt;"",D393&lt;&gt;"",E393&lt;&gt;"",F393&lt;&gt;"",G393&lt;&gt;"",H393&lt;&gt;"",J393&lt;&gt;"",K393&lt;&gt;"",L393&lt;&gt;"",M393&lt;&gt;"",N393&lt;&gt;"",O393&lt;&gt;"",P393&lt;&gt;"",Q393&lt;&gt;"",R393&lt;&gt;"",S393&lt;&gt;"",T393&lt;&gt;"",U393&lt;&gt;"",V393&lt;&gt;"",W393&lt;&gt;"",X393&lt;&gt;"",Y393&lt;&gt;"",AC393="UNIQUE"),"READY","CHECK")))</f>
        <v/>
      </c>
    </row>
    <row r="394">
      <c r="A394" s="25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37" t="n"/>
      <c r="K394" s="34" t="n"/>
      <c r="L394" s="26" t="n"/>
      <c r="M394" s="37" t="n"/>
      <c r="N394" s="37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34" t="n"/>
      <c r="Y394" s="26" t="n"/>
      <c r="Z394" s="26" t="n"/>
      <c r="AA394" s="26" t="n"/>
      <c r="AB394" s="27" t="n"/>
      <c r="AC394" s="32">
        <f>IF(A394="","",IF(COUNTIF($H$5:$H$1004,H394)&gt;1,"DUPLICATE","UNIQUE"))</f>
        <v/>
      </c>
      <c r="AD394" s="32">
        <f>IF(A394="","",IF(AA394="Rejected",IF(AB394&lt;&gt;"","REJECTED","ADD REASON"),IF(AND(B394&lt;&gt;"",C394&lt;&gt;"",D394&lt;&gt;"",E394&lt;&gt;"",F394&lt;&gt;"",G394&lt;&gt;"",H394&lt;&gt;"",J394&lt;&gt;"",K394&lt;&gt;"",L394&lt;&gt;"",M394&lt;&gt;"",N394&lt;&gt;"",O394&lt;&gt;"",P394&lt;&gt;"",Q394&lt;&gt;"",R394&lt;&gt;"",S394&lt;&gt;"",T394&lt;&gt;"",U394&lt;&gt;"",V394&lt;&gt;"",W394&lt;&gt;"",X394&lt;&gt;"",Y394&lt;&gt;"",AC394="UNIQUE"),"READY","CHECK")))</f>
        <v/>
      </c>
    </row>
    <row r="395">
      <c r="A395" s="25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37" t="n"/>
      <c r="K395" s="34" t="n"/>
      <c r="L395" s="26" t="n"/>
      <c r="M395" s="37" t="n"/>
      <c r="N395" s="37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34" t="n"/>
      <c r="Y395" s="26" t="n"/>
      <c r="Z395" s="26" t="n"/>
      <c r="AA395" s="26" t="n"/>
      <c r="AB395" s="27" t="n"/>
      <c r="AC395" s="32">
        <f>IF(A395="","",IF(COUNTIF($H$5:$H$1004,H395)&gt;1,"DUPLICATE","UNIQUE"))</f>
        <v/>
      </c>
      <c r="AD395" s="32">
        <f>IF(A395="","",IF(AA395="Rejected",IF(AB395&lt;&gt;"","REJECTED","ADD REASON"),IF(AND(B395&lt;&gt;"",C395&lt;&gt;"",D395&lt;&gt;"",E395&lt;&gt;"",F395&lt;&gt;"",G395&lt;&gt;"",H395&lt;&gt;"",J395&lt;&gt;"",K395&lt;&gt;"",L395&lt;&gt;"",M395&lt;&gt;"",N395&lt;&gt;"",O395&lt;&gt;"",P395&lt;&gt;"",Q395&lt;&gt;"",R395&lt;&gt;"",S395&lt;&gt;"",T395&lt;&gt;"",U395&lt;&gt;"",V395&lt;&gt;"",W395&lt;&gt;"",X395&lt;&gt;"",Y395&lt;&gt;"",AC395="UNIQUE"),"READY","CHECK")))</f>
        <v/>
      </c>
    </row>
    <row r="396">
      <c r="A396" s="25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37" t="n"/>
      <c r="K396" s="34" t="n"/>
      <c r="L396" s="26" t="n"/>
      <c r="M396" s="37" t="n"/>
      <c r="N396" s="37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34" t="n"/>
      <c r="Y396" s="26" t="n"/>
      <c r="Z396" s="26" t="n"/>
      <c r="AA396" s="26" t="n"/>
      <c r="AB396" s="27" t="n"/>
      <c r="AC396" s="32">
        <f>IF(A396="","",IF(COUNTIF($H$5:$H$1004,H396)&gt;1,"DUPLICATE","UNIQUE"))</f>
        <v/>
      </c>
      <c r="AD396" s="32">
        <f>IF(A396="","",IF(AA396="Rejected",IF(AB396&lt;&gt;"","REJECTED","ADD REASON"),IF(AND(B396&lt;&gt;"",C396&lt;&gt;"",D396&lt;&gt;"",E396&lt;&gt;"",F396&lt;&gt;"",G396&lt;&gt;"",H396&lt;&gt;"",J396&lt;&gt;"",K396&lt;&gt;"",L396&lt;&gt;"",M396&lt;&gt;"",N396&lt;&gt;"",O396&lt;&gt;"",P396&lt;&gt;"",Q396&lt;&gt;"",R396&lt;&gt;"",S396&lt;&gt;"",T396&lt;&gt;"",U396&lt;&gt;"",V396&lt;&gt;"",W396&lt;&gt;"",X396&lt;&gt;"",Y396&lt;&gt;"",AC396="UNIQUE"),"READY","CHECK")))</f>
        <v/>
      </c>
    </row>
    <row r="397">
      <c r="A397" s="25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37" t="n"/>
      <c r="K397" s="34" t="n"/>
      <c r="L397" s="26" t="n"/>
      <c r="M397" s="37" t="n"/>
      <c r="N397" s="37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34" t="n"/>
      <c r="Y397" s="26" t="n"/>
      <c r="Z397" s="26" t="n"/>
      <c r="AA397" s="26" t="n"/>
      <c r="AB397" s="27" t="n"/>
      <c r="AC397" s="32">
        <f>IF(A397="","",IF(COUNTIF($H$5:$H$1004,H397)&gt;1,"DUPLICATE","UNIQUE"))</f>
        <v/>
      </c>
      <c r="AD397" s="32">
        <f>IF(A397="","",IF(AA397="Rejected",IF(AB397&lt;&gt;"","REJECTED","ADD REASON"),IF(AND(B397&lt;&gt;"",C397&lt;&gt;"",D397&lt;&gt;"",E397&lt;&gt;"",F397&lt;&gt;"",G397&lt;&gt;"",H397&lt;&gt;"",J397&lt;&gt;"",K397&lt;&gt;"",L397&lt;&gt;"",M397&lt;&gt;"",N397&lt;&gt;"",O397&lt;&gt;"",P397&lt;&gt;"",Q397&lt;&gt;"",R397&lt;&gt;"",S397&lt;&gt;"",T397&lt;&gt;"",U397&lt;&gt;"",V397&lt;&gt;"",W397&lt;&gt;"",X397&lt;&gt;"",Y397&lt;&gt;"",AC397="UNIQUE"),"READY","CHECK")))</f>
        <v/>
      </c>
    </row>
    <row r="398">
      <c r="A398" s="25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37" t="n"/>
      <c r="K398" s="34" t="n"/>
      <c r="L398" s="26" t="n"/>
      <c r="M398" s="37" t="n"/>
      <c r="N398" s="37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34" t="n"/>
      <c r="Y398" s="26" t="n"/>
      <c r="Z398" s="26" t="n"/>
      <c r="AA398" s="26" t="n"/>
      <c r="AB398" s="27" t="n"/>
      <c r="AC398" s="32">
        <f>IF(A398="","",IF(COUNTIF($H$5:$H$1004,H398)&gt;1,"DUPLICATE","UNIQUE"))</f>
        <v/>
      </c>
      <c r="AD398" s="32">
        <f>IF(A398="","",IF(AA398="Rejected",IF(AB398&lt;&gt;"","REJECTED","ADD REASON"),IF(AND(B398&lt;&gt;"",C398&lt;&gt;"",D398&lt;&gt;"",E398&lt;&gt;"",F398&lt;&gt;"",G398&lt;&gt;"",H398&lt;&gt;"",J398&lt;&gt;"",K398&lt;&gt;"",L398&lt;&gt;"",M398&lt;&gt;"",N398&lt;&gt;"",O398&lt;&gt;"",P398&lt;&gt;"",Q398&lt;&gt;"",R398&lt;&gt;"",S398&lt;&gt;"",T398&lt;&gt;"",U398&lt;&gt;"",V398&lt;&gt;"",W398&lt;&gt;"",X398&lt;&gt;"",Y398&lt;&gt;"",AC398="UNIQUE"),"READY","CHECK")))</f>
        <v/>
      </c>
    </row>
    <row r="399">
      <c r="A399" s="25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37" t="n"/>
      <c r="K399" s="34" t="n"/>
      <c r="L399" s="26" t="n"/>
      <c r="M399" s="37" t="n"/>
      <c r="N399" s="37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34" t="n"/>
      <c r="Y399" s="26" t="n"/>
      <c r="Z399" s="26" t="n"/>
      <c r="AA399" s="26" t="n"/>
      <c r="AB399" s="27" t="n"/>
      <c r="AC399" s="32">
        <f>IF(A399="","",IF(COUNTIF($H$5:$H$1004,H399)&gt;1,"DUPLICATE","UNIQUE"))</f>
        <v/>
      </c>
      <c r="AD399" s="32">
        <f>IF(A399="","",IF(AA399="Rejected",IF(AB399&lt;&gt;"","REJECTED","ADD REASON"),IF(AND(B399&lt;&gt;"",C399&lt;&gt;"",D399&lt;&gt;"",E399&lt;&gt;"",F399&lt;&gt;"",G399&lt;&gt;"",H399&lt;&gt;"",J399&lt;&gt;"",K399&lt;&gt;"",L399&lt;&gt;"",M399&lt;&gt;"",N399&lt;&gt;"",O399&lt;&gt;"",P399&lt;&gt;"",Q399&lt;&gt;"",R399&lt;&gt;"",S399&lt;&gt;"",T399&lt;&gt;"",U399&lt;&gt;"",V399&lt;&gt;"",W399&lt;&gt;"",X399&lt;&gt;"",Y399&lt;&gt;"",AC399="UNIQUE"),"READY","CHECK")))</f>
        <v/>
      </c>
    </row>
    <row r="400">
      <c r="A400" s="25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37" t="n"/>
      <c r="K400" s="34" t="n"/>
      <c r="L400" s="26" t="n"/>
      <c r="M400" s="37" t="n"/>
      <c r="N400" s="37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34" t="n"/>
      <c r="Y400" s="26" t="n"/>
      <c r="Z400" s="26" t="n"/>
      <c r="AA400" s="26" t="n"/>
      <c r="AB400" s="27" t="n"/>
      <c r="AC400" s="32">
        <f>IF(A400="","",IF(COUNTIF($H$5:$H$1004,H400)&gt;1,"DUPLICATE","UNIQUE"))</f>
        <v/>
      </c>
      <c r="AD400" s="32">
        <f>IF(A400="","",IF(AA400="Rejected",IF(AB400&lt;&gt;"","REJECTED","ADD REASON"),IF(AND(B400&lt;&gt;"",C400&lt;&gt;"",D400&lt;&gt;"",E400&lt;&gt;"",F400&lt;&gt;"",G400&lt;&gt;"",H400&lt;&gt;"",J400&lt;&gt;"",K400&lt;&gt;"",L400&lt;&gt;"",M400&lt;&gt;"",N400&lt;&gt;"",O400&lt;&gt;"",P400&lt;&gt;"",Q400&lt;&gt;"",R400&lt;&gt;"",S400&lt;&gt;"",T400&lt;&gt;"",U400&lt;&gt;"",V400&lt;&gt;"",W400&lt;&gt;"",X400&lt;&gt;"",Y400&lt;&gt;"",AC400="UNIQUE"),"READY","CHECK")))</f>
        <v/>
      </c>
    </row>
    <row r="401">
      <c r="A401" s="25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37" t="n"/>
      <c r="K401" s="34" t="n"/>
      <c r="L401" s="26" t="n"/>
      <c r="M401" s="37" t="n"/>
      <c r="N401" s="37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34" t="n"/>
      <c r="Y401" s="26" t="n"/>
      <c r="Z401" s="26" t="n"/>
      <c r="AA401" s="26" t="n"/>
      <c r="AB401" s="27" t="n"/>
      <c r="AC401" s="32">
        <f>IF(A401="","",IF(COUNTIF($H$5:$H$1004,H401)&gt;1,"DUPLICATE","UNIQUE"))</f>
        <v/>
      </c>
      <c r="AD401" s="32">
        <f>IF(A401="","",IF(AA401="Rejected",IF(AB401&lt;&gt;"","REJECTED","ADD REASON"),IF(AND(B401&lt;&gt;"",C401&lt;&gt;"",D401&lt;&gt;"",E401&lt;&gt;"",F401&lt;&gt;"",G401&lt;&gt;"",H401&lt;&gt;"",J401&lt;&gt;"",K401&lt;&gt;"",L401&lt;&gt;"",M401&lt;&gt;"",N401&lt;&gt;"",O401&lt;&gt;"",P401&lt;&gt;"",Q401&lt;&gt;"",R401&lt;&gt;"",S401&lt;&gt;"",T401&lt;&gt;"",U401&lt;&gt;"",V401&lt;&gt;"",W401&lt;&gt;"",X401&lt;&gt;"",Y401&lt;&gt;"",AC401="UNIQUE"),"READY","CHECK")))</f>
        <v/>
      </c>
    </row>
    <row r="402">
      <c r="A402" s="25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37" t="n"/>
      <c r="K402" s="34" t="n"/>
      <c r="L402" s="26" t="n"/>
      <c r="M402" s="37" t="n"/>
      <c r="N402" s="37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34" t="n"/>
      <c r="Y402" s="26" t="n"/>
      <c r="Z402" s="26" t="n"/>
      <c r="AA402" s="26" t="n"/>
      <c r="AB402" s="27" t="n"/>
      <c r="AC402" s="32">
        <f>IF(A402="","",IF(COUNTIF($H$5:$H$1004,H402)&gt;1,"DUPLICATE","UNIQUE"))</f>
        <v/>
      </c>
      <c r="AD402" s="32">
        <f>IF(A402="","",IF(AA402="Rejected",IF(AB402&lt;&gt;"","REJECTED","ADD REASON"),IF(AND(B402&lt;&gt;"",C402&lt;&gt;"",D402&lt;&gt;"",E402&lt;&gt;"",F402&lt;&gt;"",G402&lt;&gt;"",H402&lt;&gt;"",J402&lt;&gt;"",K402&lt;&gt;"",L402&lt;&gt;"",M402&lt;&gt;"",N402&lt;&gt;"",O402&lt;&gt;"",P402&lt;&gt;"",Q402&lt;&gt;"",R402&lt;&gt;"",S402&lt;&gt;"",T402&lt;&gt;"",U402&lt;&gt;"",V402&lt;&gt;"",W402&lt;&gt;"",X402&lt;&gt;"",Y402&lt;&gt;"",AC402="UNIQUE"),"READY","CHECK")))</f>
        <v/>
      </c>
    </row>
    <row r="403">
      <c r="A403" s="25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37" t="n"/>
      <c r="K403" s="34" t="n"/>
      <c r="L403" s="26" t="n"/>
      <c r="M403" s="37" t="n"/>
      <c r="N403" s="37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34" t="n"/>
      <c r="Y403" s="26" t="n"/>
      <c r="Z403" s="26" t="n"/>
      <c r="AA403" s="26" t="n"/>
      <c r="AB403" s="27" t="n"/>
      <c r="AC403" s="32">
        <f>IF(A403="","",IF(COUNTIF($H$5:$H$1004,H403)&gt;1,"DUPLICATE","UNIQUE"))</f>
        <v/>
      </c>
      <c r="AD403" s="32">
        <f>IF(A403="","",IF(AA403="Rejected",IF(AB403&lt;&gt;"","REJECTED","ADD REASON"),IF(AND(B403&lt;&gt;"",C403&lt;&gt;"",D403&lt;&gt;"",E403&lt;&gt;"",F403&lt;&gt;"",G403&lt;&gt;"",H403&lt;&gt;"",J403&lt;&gt;"",K403&lt;&gt;"",L403&lt;&gt;"",M403&lt;&gt;"",N403&lt;&gt;"",O403&lt;&gt;"",P403&lt;&gt;"",Q403&lt;&gt;"",R403&lt;&gt;"",S403&lt;&gt;"",T403&lt;&gt;"",U403&lt;&gt;"",V403&lt;&gt;"",W403&lt;&gt;"",X403&lt;&gt;"",Y403&lt;&gt;"",AC403="UNIQUE"),"READY","CHECK")))</f>
        <v/>
      </c>
    </row>
    <row r="404">
      <c r="A404" s="25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37" t="n"/>
      <c r="K404" s="34" t="n"/>
      <c r="L404" s="26" t="n"/>
      <c r="M404" s="37" t="n"/>
      <c r="N404" s="37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34" t="n"/>
      <c r="Y404" s="26" t="n"/>
      <c r="Z404" s="26" t="n"/>
      <c r="AA404" s="26" t="n"/>
      <c r="AB404" s="27" t="n"/>
      <c r="AC404" s="32">
        <f>IF(A404="","",IF(COUNTIF($H$5:$H$1004,H404)&gt;1,"DUPLICATE","UNIQUE"))</f>
        <v/>
      </c>
      <c r="AD404" s="32">
        <f>IF(A404="","",IF(AA404="Rejected",IF(AB404&lt;&gt;"","REJECTED","ADD REASON"),IF(AND(B404&lt;&gt;"",C404&lt;&gt;"",D404&lt;&gt;"",E404&lt;&gt;"",F404&lt;&gt;"",G404&lt;&gt;"",H404&lt;&gt;"",J404&lt;&gt;"",K404&lt;&gt;"",L404&lt;&gt;"",M404&lt;&gt;"",N404&lt;&gt;"",O404&lt;&gt;"",P404&lt;&gt;"",Q404&lt;&gt;"",R404&lt;&gt;"",S404&lt;&gt;"",T404&lt;&gt;"",U404&lt;&gt;"",V404&lt;&gt;"",W404&lt;&gt;"",X404&lt;&gt;"",Y404&lt;&gt;"",AC404="UNIQUE"),"READY","CHECK")))</f>
        <v/>
      </c>
    </row>
    <row r="405">
      <c r="A405" s="25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37" t="n"/>
      <c r="K405" s="34" t="n"/>
      <c r="L405" s="26" t="n"/>
      <c r="M405" s="37" t="n"/>
      <c r="N405" s="37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34" t="n"/>
      <c r="Y405" s="26" t="n"/>
      <c r="Z405" s="26" t="n"/>
      <c r="AA405" s="26" t="n"/>
      <c r="AB405" s="27" t="n"/>
      <c r="AC405" s="32">
        <f>IF(A405="","",IF(COUNTIF($H$5:$H$1004,H405)&gt;1,"DUPLICATE","UNIQUE"))</f>
        <v/>
      </c>
      <c r="AD405" s="32">
        <f>IF(A405="","",IF(AA405="Rejected",IF(AB405&lt;&gt;"","REJECTED","ADD REASON"),IF(AND(B405&lt;&gt;"",C405&lt;&gt;"",D405&lt;&gt;"",E405&lt;&gt;"",F405&lt;&gt;"",G405&lt;&gt;"",H405&lt;&gt;"",J405&lt;&gt;"",K405&lt;&gt;"",L405&lt;&gt;"",M405&lt;&gt;"",N405&lt;&gt;"",O405&lt;&gt;"",P405&lt;&gt;"",Q405&lt;&gt;"",R405&lt;&gt;"",S405&lt;&gt;"",T405&lt;&gt;"",U405&lt;&gt;"",V405&lt;&gt;"",W405&lt;&gt;"",X405&lt;&gt;"",Y405&lt;&gt;"",AC405="UNIQUE"),"READY","CHECK")))</f>
        <v/>
      </c>
    </row>
    <row r="406">
      <c r="A406" s="25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37" t="n"/>
      <c r="K406" s="34" t="n"/>
      <c r="L406" s="26" t="n"/>
      <c r="M406" s="37" t="n"/>
      <c r="N406" s="37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34" t="n"/>
      <c r="Y406" s="26" t="n"/>
      <c r="Z406" s="26" t="n"/>
      <c r="AA406" s="26" t="n"/>
      <c r="AB406" s="27" t="n"/>
      <c r="AC406" s="32">
        <f>IF(A406="","",IF(COUNTIF($H$5:$H$1004,H406)&gt;1,"DUPLICATE","UNIQUE"))</f>
        <v/>
      </c>
      <c r="AD406" s="32">
        <f>IF(A406="","",IF(AA406="Rejected",IF(AB406&lt;&gt;"","REJECTED","ADD REASON"),IF(AND(B406&lt;&gt;"",C406&lt;&gt;"",D406&lt;&gt;"",E406&lt;&gt;"",F406&lt;&gt;"",G406&lt;&gt;"",H406&lt;&gt;"",J406&lt;&gt;"",K406&lt;&gt;"",L406&lt;&gt;"",M406&lt;&gt;"",N406&lt;&gt;"",O406&lt;&gt;"",P406&lt;&gt;"",Q406&lt;&gt;"",R406&lt;&gt;"",S406&lt;&gt;"",T406&lt;&gt;"",U406&lt;&gt;"",V406&lt;&gt;"",W406&lt;&gt;"",X406&lt;&gt;"",Y406&lt;&gt;"",AC406="UNIQUE"),"READY","CHECK")))</f>
        <v/>
      </c>
    </row>
    <row r="407">
      <c r="A407" s="25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37" t="n"/>
      <c r="K407" s="34" t="n"/>
      <c r="L407" s="26" t="n"/>
      <c r="M407" s="37" t="n"/>
      <c r="N407" s="37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34" t="n"/>
      <c r="Y407" s="26" t="n"/>
      <c r="Z407" s="26" t="n"/>
      <c r="AA407" s="26" t="n"/>
      <c r="AB407" s="27" t="n"/>
      <c r="AC407" s="32">
        <f>IF(A407="","",IF(COUNTIF($H$5:$H$1004,H407)&gt;1,"DUPLICATE","UNIQUE"))</f>
        <v/>
      </c>
      <c r="AD407" s="32">
        <f>IF(A407="","",IF(AA407="Rejected",IF(AB407&lt;&gt;"","REJECTED","ADD REASON"),IF(AND(B407&lt;&gt;"",C407&lt;&gt;"",D407&lt;&gt;"",E407&lt;&gt;"",F407&lt;&gt;"",G407&lt;&gt;"",H407&lt;&gt;"",J407&lt;&gt;"",K407&lt;&gt;"",L407&lt;&gt;"",M407&lt;&gt;"",N407&lt;&gt;"",O407&lt;&gt;"",P407&lt;&gt;"",Q407&lt;&gt;"",R407&lt;&gt;"",S407&lt;&gt;"",T407&lt;&gt;"",U407&lt;&gt;"",V407&lt;&gt;"",W407&lt;&gt;"",X407&lt;&gt;"",Y407&lt;&gt;"",AC407="UNIQUE"),"READY","CHECK")))</f>
        <v/>
      </c>
    </row>
    <row r="408">
      <c r="A408" s="25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37" t="n"/>
      <c r="K408" s="34" t="n"/>
      <c r="L408" s="26" t="n"/>
      <c r="M408" s="37" t="n"/>
      <c r="N408" s="37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34" t="n"/>
      <c r="Y408" s="26" t="n"/>
      <c r="Z408" s="26" t="n"/>
      <c r="AA408" s="26" t="n"/>
      <c r="AB408" s="27" t="n"/>
      <c r="AC408" s="32">
        <f>IF(A408="","",IF(COUNTIF($H$5:$H$1004,H408)&gt;1,"DUPLICATE","UNIQUE"))</f>
        <v/>
      </c>
      <c r="AD408" s="32">
        <f>IF(A408="","",IF(AA408="Rejected",IF(AB408&lt;&gt;"","REJECTED","ADD REASON"),IF(AND(B408&lt;&gt;"",C408&lt;&gt;"",D408&lt;&gt;"",E408&lt;&gt;"",F408&lt;&gt;"",G408&lt;&gt;"",H408&lt;&gt;"",J408&lt;&gt;"",K408&lt;&gt;"",L408&lt;&gt;"",M408&lt;&gt;"",N408&lt;&gt;"",O408&lt;&gt;"",P408&lt;&gt;"",Q408&lt;&gt;"",R408&lt;&gt;"",S408&lt;&gt;"",T408&lt;&gt;"",U408&lt;&gt;"",V408&lt;&gt;"",W408&lt;&gt;"",X408&lt;&gt;"",Y408&lt;&gt;"",AC408="UNIQUE"),"READY","CHECK")))</f>
        <v/>
      </c>
    </row>
    <row r="409">
      <c r="A409" s="25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37" t="n"/>
      <c r="K409" s="34" t="n"/>
      <c r="L409" s="26" t="n"/>
      <c r="M409" s="37" t="n"/>
      <c r="N409" s="37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34" t="n"/>
      <c r="Y409" s="26" t="n"/>
      <c r="Z409" s="26" t="n"/>
      <c r="AA409" s="26" t="n"/>
      <c r="AB409" s="27" t="n"/>
      <c r="AC409" s="32">
        <f>IF(A409="","",IF(COUNTIF($H$5:$H$1004,H409)&gt;1,"DUPLICATE","UNIQUE"))</f>
        <v/>
      </c>
      <c r="AD409" s="32">
        <f>IF(A409="","",IF(AA409="Rejected",IF(AB409&lt;&gt;"","REJECTED","ADD REASON"),IF(AND(B409&lt;&gt;"",C409&lt;&gt;"",D409&lt;&gt;"",E409&lt;&gt;"",F409&lt;&gt;"",G409&lt;&gt;"",H409&lt;&gt;"",J409&lt;&gt;"",K409&lt;&gt;"",L409&lt;&gt;"",M409&lt;&gt;"",N409&lt;&gt;"",O409&lt;&gt;"",P409&lt;&gt;"",Q409&lt;&gt;"",R409&lt;&gt;"",S409&lt;&gt;"",T409&lt;&gt;"",U409&lt;&gt;"",V409&lt;&gt;"",W409&lt;&gt;"",X409&lt;&gt;"",Y409&lt;&gt;"",AC409="UNIQUE"),"READY","CHECK")))</f>
        <v/>
      </c>
    </row>
    <row r="410">
      <c r="A410" s="25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37" t="n"/>
      <c r="K410" s="34" t="n"/>
      <c r="L410" s="26" t="n"/>
      <c r="M410" s="37" t="n"/>
      <c r="N410" s="37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34" t="n"/>
      <c r="Y410" s="26" t="n"/>
      <c r="Z410" s="26" t="n"/>
      <c r="AA410" s="26" t="n"/>
      <c r="AB410" s="27" t="n"/>
      <c r="AC410" s="32">
        <f>IF(A410="","",IF(COUNTIF($H$5:$H$1004,H410)&gt;1,"DUPLICATE","UNIQUE"))</f>
        <v/>
      </c>
      <c r="AD410" s="32">
        <f>IF(A410="","",IF(AA410="Rejected",IF(AB410&lt;&gt;"","REJECTED","ADD REASON"),IF(AND(B410&lt;&gt;"",C410&lt;&gt;"",D410&lt;&gt;"",E410&lt;&gt;"",F410&lt;&gt;"",G410&lt;&gt;"",H410&lt;&gt;"",J410&lt;&gt;"",K410&lt;&gt;"",L410&lt;&gt;"",M410&lt;&gt;"",N410&lt;&gt;"",O410&lt;&gt;"",P410&lt;&gt;"",Q410&lt;&gt;"",R410&lt;&gt;"",S410&lt;&gt;"",T410&lt;&gt;"",U410&lt;&gt;"",V410&lt;&gt;"",W410&lt;&gt;"",X410&lt;&gt;"",Y410&lt;&gt;"",AC410="UNIQUE"),"READY","CHECK")))</f>
        <v/>
      </c>
    </row>
    <row r="411">
      <c r="A411" s="25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37" t="n"/>
      <c r="K411" s="34" t="n"/>
      <c r="L411" s="26" t="n"/>
      <c r="M411" s="37" t="n"/>
      <c r="N411" s="37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34" t="n"/>
      <c r="Y411" s="26" t="n"/>
      <c r="Z411" s="26" t="n"/>
      <c r="AA411" s="26" t="n"/>
      <c r="AB411" s="27" t="n"/>
      <c r="AC411" s="32">
        <f>IF(A411="","",IF(COUNTIF($H$5:$H$1004,H411)&gt;1,"DUPLICATE","UNIQUE"))</f>
        <v/>
      </c>
      <c r="AD411" s="32">
        <f>IF(A411="","",IF(AA411="Rejected",IF(AB411&lt;&gt;"","REJECTED","ADD REASON"),IF(AND(B411&lt;&gt;"",C411&lt;&gt;"",D411&lt;&gt;"",E411&lt;&gt;"",F411&lt;&gt;"",G411&lt;&gt;"",H411&lt;&gt;"",J411&lt;&gt;"",K411&lt;&gt;"",L411&lt;&gt;"",M411&lt;&gt;"",N411&lt;&gt;"",O411&lt;&gt;"",P411&lt;&gt;"",Q411&lt;&gt;"",R411&lt;&gt;"",S411&lt;&gt;"",T411&lt;&gt;"",U411&lt;&gt;"",V411&lt;&gt;"",W411&lt;&gt;"",X411&lt;&gt;"",Y411&lt;&gt;"",AC411="UNIQUE"),"READY","CHECK")))</f>
        <v/>
      </c>
    </row>
    <row r="412">
      <c r="A412" s="25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37" t="n"/>
      <c r="K412" s="34" t="n"/>
      <c r="L412" s="26" t="n"/>
      <c r="M412" s="37" t="n"/>
      <c r="N412" s="37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34" t="n"/>
      <c r="Y412" s="26" t="n"/>
      <c r="Z412" s="26" t="n"/>
      <c r="AA412" s="26" t="n"/>
      <c r="AB412" s="27" t="n"/>
      <c r="AC412" s="32">
        <f>IF(A412="","",IF(COUNTIF($H$5:$H$1004,H412)&gt;1,"DUPLICATE","UNIQUE"))</f>
        <v/>
      </c>
      <c r="AD412" s="32">
        <f>IF(A412="","",IF(AA412="Rejected",IF(AB412&lt;&gt;"","REJECTED","ADD REASON"),IF(AND(B412&lt;&gt;"",C412&lt;&gt;"",D412&lt;&gt;"",E412&lt;&gt;"",F412&lt;&gt;"",G412&lt;&gt;"",H412&lt;&gt;"",J412&lt;&gt;"",K412&lt;&gt;"",L412&lt;&gt;"",M412&lt;&gt;"",N412&lt;&gt;"",O412&lt;&gt;"",P412&lt;&gt;"",Q412&lt;&gt;"",R412&lt;&gt;"",S412&lt;&gt;"",T412&lt;&gt;"",U412&lt;&gt;"",V412&lt;&gt;"",W412&lt;&gt;"",X412&lt;&gt;"",Y412&lt;&gt;"",AC412="UNIQUE"),"READY","CHECK")))</f>
        <v/>
      </c>
    </row>
    <row r="413">
      <c r="A413" s="25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37" t="n"/>
      <c r="K413" s="34" t="n"/>
      <c r="L413" s="26" t="n"/>
      <c r="M413" s="37" t="n"/>
      <c r="N413" s="37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34" t="n"/>
      <c r="Y413" s="26" t="n"/>
      <c r="Z413" s="26" t="n"/>
      <c r="AA413" s="26" t="n"/>
      <c r="AB413" s="27" t="n"/>
      <c r="AC413" s="32">
        <f>IF(A413="","",IF(COUNTIF($H$5:$H$1004,H413)&gt;1,"DUPLICATE","UNIQUE"))</f>
        <v/>
      </c>
      <c r="AD413" s="32">
        <f>IF(A413="","",IF(AA413="Rejected",IF(AB413&lt;&gt;"","REJECTED","ADD REASON"),IF(AND(B413&lt;&gt;"",C413&lt;&gt;"",D413&lt;&gt;"",E413&lt;&gt;"",F413&lt;&gt;"",G413&lt;&gt;"",H413&lt;&gt;"",J413&lt;&gt;"",K413&lt;&gt;"",L413&lt;&gt;"",M413&lt;&gt;"",N413&lt;&gt;"",O413&lt;&gt;"",P413&lt;&gt;"",Q413&lt;&gt;"",R413&lt;&gt;"",S413&lt;&gt;"",T413&lt;&gt;"",U413&lt;&gt;"",V413&lt;&gt;"",W413&lt;&gt;"",X413&lt;&gt;"",Y413&lt;&gt;"",AC413="UNIQUE"),"READY","CHECK")))</f>
        <v/>
      </c>
    </row>
    <row r="414">
      <c r="A414" s="25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37" t="n"/>
      <c r="K414" s="34" t="n"/>
      <c r="L414" s="26" t="n"/>
      <c r="M414" s="37" t="n"/>
      <c r="N414" s="37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34" t="n"/>
      <c r="Y414" s="26" t="n"/>
      <c r="Z414" s="26" t="n"/>
      <c r="AA414" s="26" t="n"/>
      <c r="AB414" s="27" t="n"/>
      <c r="AC414" s="32">
        <f>IF(A414="","",IF(COUNTIF($H$5:$H$1004,H414)&gt;1,"DUPLICATE","UNIQUE"))</f>
        <v/>
      </c>
      <c r="AD414" s="32">
        <f>IF(A414="","",IF(AA414="Rejected",IF(AB414&lt;&gt;"","REJECTED","ADD REASON"),IF(AND(B414&lt;&gt;"",C414&lt;&gt;"",D414&lt;&gt;"",E414&lt;&gt;"",F414&lt;&gt;"",G414&lt;&gt;"",H414&lt;&gt;"",J414&lt;&gt;"",K414&lt;&gt;"",L414&lt;&gt;"",M414&lt;&gt;"",N414&lt;&gt;"",O414&lt;&gt;"",P414&lt;&gt;"",Q414&lt;&gt;"",R414&lt;&gt;"",S414&lt;&gt;"",T414&lt;&gt;"",U414&lt;&gt;"",V414&lt;&gt;"",W414&lt;&gt;"",X414&lt;&gt;"",Y414&lt;&gt;"",AC414="UNIQUE"),"READY","CHECK")))</f>
        <v/>
      </c>
    </row>
    <row r="415">
      <c r="A415" s="25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37" t="n"/>
      <c r="K415" s="34" t="n"/>
      <c r="L415" s="26" t="n"/>
      <c r="M415" s="37" t="n"/>
      <c r="N415" s="37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34" t="n"/>
      <c r="Y415" s="26" t="n"/>
      <c r="Z415" s="26" t="n"/>
      <c r="AA415" s="26" t="n"/>
      <c r="AB415" s="27" t="n"/>
      <c r="AC415" s="32">
        <f>IF(A415="","",IF(COUNTIF($H$5:$H$1004,H415)&gt;1,"DUPLICATE","UNIQUE"))</f>
        <v/>
      </c>
      <c r="AD415" s="32">
        <f>IF(A415="","",IF(AA415="Rejected",IF(AB415&lt;&gt;"","REJECTED","ADD REASON"),IF(AND(B415&lt;&gt;"",C415&lt;&gt;"",D415&lt;&gt;"",E415&lt;&gt;"",F415&lt;&gt;"",G415&lt;&gt;"",H415&lt;&gt;"",J415&lt;&gt;"",K415&lt;&gt;"",L415&lt;&gt;"",M415&lt;&gt;"",N415&lt;&gt;"",O415&lt;&gt;"",P415&lt;&gt;"",Q415&lt;&gt;"",R415&lt;&gt;"",S415&lt;&gt;"",T415&lt;&gt;"",U415&lt;&gt;"",V415&lt;&gt;"",W415&lt;&gt;"",X415&lt;&gt;"",Y415&lt;&gt;"",AC415="UNIQUE"),"READY","CHECK")))</f>
        <v/>
      </c>
    </row>
    <row r="416">
      <c r="A416" s="25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37" t="n"/>
      <c r="K416" s="34" t="n"/>
      <c r="L416" s="26" t="n"/>
      <c r="M416" s="37" t="n"/>
      <c r="N416" s="37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34" t="n"/>
      <c r="Y416" s="26" t="n"/>
      <c r="Z416" s="26" t="n"/>
      <c r="AA416" s="26" t="n"/>
      <c r="AB416" s="27" t="n"/>
      <c r="AC416" s="32">
        <f>IF(A416="","",IF(COUNTIF($H$5:$H$1004,H416)&gt;1,"DUPLICATE","UNIQUE"))</f>
        <v/>
      </c>
      <c r="AD416" s="32">
        <f>IF(A416="","",IF(AA416="Rejected",IF(AB416&lt;&gt;"","REJECTED","ADD REASON"),IF(AND(B416&lt;&gt;"",C416&lt;&gt;"",D416&lt;&gt;"",E416&lt;&gt;"",F416&lt;&gt;"",G416&lt;&gt;"",H416&lt;&gt;"",J416&lt;&gt;"",K416&lt;&gt;"",L416&lt;&gt;"",M416&lt;&gt;"",N416&lt;&gt;"",O416&lt;&gt;"",P416&lt;&gt;"",Q416&lt;&gt;"",R416&lt;&gt;"",S416&lt;&gt;"",T416&lt;&gt;"",U416&lt;&gt;"",V416&lt;&gt;"",W416&lt;&gt;"",X416&lt;&gt;"",Y416&lt;&gt;"",AC416="UNIQUE"),"READY","CHECK")))</f>
        <v/>
      </c>
    </row>
    <row r="417">
      <c r="A417" s="25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37" t="n"/>
      <c r="K417" s="34" t="n"/>
      <c r="L417" s="26" t="n"/>
      <c r="M417" s="37" t="n"/>
      <c r="N417" s="37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34" t="n"/>
      <c r="Y417" s="26" t="n"/>
      <c r="Z417" s="26" t="n"/>
      <c r="AA417" s="26" t="n"/>
      <c r="AB417" s="27" t="n"/>
      <c r="AC417" s="32">
        <f>IF(A417="","",IF(COUNTIF($H$5:$H$1004,H417)&gt;1,"DUPLICATE","UNIQUE"))</f>
        <v/>
      </c>
      <c r="AD417" s="32">
        <f>IF(A417="","",IF(AA417="Rejected",IF(AB417&lt;&gt;"","REJECTED","ADD REASON"),IF(AND(B417&lt;&gt;"",C417&lt;&gt;"",D417&lt;&gt;"",E417&lt;&gt;"",F417&lt;&gt;"",G417&lt;&gt;"",H417&lt;&gt;"",J417&lt;&gt;"",K417&lt;&gt;"",L417&lt;&gt;"",M417&lt;&gt;"",N417&lt;&gt;"",O417&lt;&gt;"",P417&lt;&gt;"",Q417&lt;&gt;"",R417&lt;&gt;"",S417&lt;&gt;"",T417&lt;&gt;"",U417&lt;&gt;"",V417&lt;&gt;"",W417&lt;&gt;"",X417&lt;&gt;"",Y417&lt;&gt;"",AC417="UNIQUE"),"READY","CHECK")))</f>
        <v/>
      </c>
    </row>
    <row r="418">
      <c r="A418" s="25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37" t="n"/>
      <c r="K418" s="34" t="n"/>
      <c r="L418" s="26" t="n"/>
      <c r="M418" s="37" t="n"/>
      <c r="N418" s="37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34" t="n"/>
      <c r="Y418" s="26" t="n"/>
      <c r="Z418" s="26" t="n"/>
      <c r="AA418" s="26" t="n"/>
      <c r="AB418" s="27" t="n"/>
      <c r="AC418" s="32">
        <f>IF(A418="","",IF(COUNTIF($H$5:$H$1004,H418)&gt;1,"DUPLICATE","UNIQUE"))</f>
        <v/>
      </c>
      <c r="AD418" s="32">
        <f>IF(A418="","",IF(AA418="Rejected",IF(AB418&lt;&gt;"","REJECTED","ADD REASON"),IF(AND(B418&lt;&gt;"",C418&lt;&gt;"",D418&lt;&gt;"",E418&lt;&gt;"",F418&lt;&gt;"",G418&lt;&gt;"",H418&lt;&gt;"",J418&lt;&gt;"",K418&lt;&gt;"",L418&lt;&gt;"",M418&lt;&gt;"",N418&lt;&gt;"",O418&lt;&gt;"",P418&lt;&gt;"",Q418&lt;&gt;"",R418&lt;&gt;"",S418&lt;&gt;"",T418&lt;&gt;"",U418&lt;&gt;"",V418&lt;&gt;"",W418&lt;&gt;"",X418&lt;&gt;"",Y418&lt;&gt;"",AC418="UNIQUE"),"READY","CHECK")))</f>
        <v/>
      </c>
    </row>
    <row r="419">
      <c r="A419" s="25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37" t="n"/>
      <c r="K419" s="34" t="n"/>
      <c r="L419" s="26" t="n"/>
      <c r="M419" s="37" t="n"/>
      <c r="N419" s="37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34" t="n"/>
      <c r="Y419" s="26" t="n"/>
      <c r="Z419" s="26" t="n"/>
      <c r="AA419" s="26" t="n"/>
      <c r="AB419" s="27" t="n"/>
      <c r="AC419" s="32">
        <f>IF(A419="","",IF(COUNTIF($H$5:$H$1004,H419)&gt;1,"DUPLICATE","UNIQUE"))</f>
        <v/>
      </c>
      <c r="AD419" s="32">
        <f>IF(A419="","",IF(AA419="Rejected",IF(AB419&lt;&gt;"","REJECTED","ADD REASON"),IF(AND(B419&lt;&gt;"",C419&lt;&gt;"",D419&lt;&gt;"",E419&lt;&gt;"",F419&lt;&gt;"",G419&lt;&gt;"",H419&lt;&gt;"",J419&lt;&gt;"",K419&lt;&gt;"",L419&lt;&gt;"",M419&lt;&gt;"",N419&lt;&gt;"",O419&lt;&gt;"",P419&lt;&gt;"",Q419&lt;&gt;"",R419&lt;&gt;"",S419&lt;&gt;"",T419&lt;&gt;"",U419&lt;&gt;"",V419&lt;&gt;"",W419&lt;&gt;"",X419&lt;&gt;"",Y419&lt;&gt;"",AC419="UNIQUE"),"READY","CHECK")))</f>
        <v/>
      </c>
    </row>
    <row r="420">
      <c r="A420" s="25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37" t="n"/>
      <c r="K420" s="34" t="n"/>
      <c r="L420" s="26" t="n"/>
      <c r="M420" s="37" t="n"/>
      <c r="N420" s="37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34" t="n"/>
      <c r="Y420" s="26" t="n"/>
      <c r="Z420" s="26" t="n"/>
      <c r="AA420" s="26" t="n"/>
      <c r="AB420" s="27" t="n"/>
      <c r="AC420" s="32">
        <f>IF(A420="","",IF(COUNTIF($H$5:$H$1004,H420)&gt;1,"DUPLICATE","UNIQUE"))</f>
        <v/>
      </c>
      <c r="AD420" s="32">
        <f>IF(A420="","",IF(AA420="Rejected",IF(AB420&lt;&gt;"","REJECTED","ADD REASON"),IF(AND(B420&lt;&gt;"",C420&lt;&gt;"",D420&lt;&gt;"",E420&lt;&gt;"",F420&lt;&gt;"",G420&lt;&gt;"",H420&lt;&gt;"",J420&lt;&gt;"",K420&lt;&gt;"",L420&lt;&gt;"",M420&lt;&gt;"",N420&lt;&gt;"",O420&lt;&gt;"",P420&lt;&gt;"",Q420&lt;&gt;"",R420&lt;&gt;"",S420&lt;&gt;"",T420&lt;&gt;"",U420&lt;&gt;"",V420&lt;&gt;"",W420&lt;&gt;"",X420&lt;&gt;"",Y420&lt;&gt;"",AC420="UNIQUE"),"READY","CHECK")))</f>
        <v/>
      </c>
    </row>
    <row r="421">
      <c r="A421" s="25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37" t="n"/>
      <c r="K421" s="34" t="n"/>
      <c r="L421" s="26" t="n"/>
      <c r="M421" s="37" t="n"/>
      <c r="N421" s="37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34" t="n"/>
      <c r="Y421" s="26" t="n"/>
      <c r="Z421" s="26" t="n"/>
      <c r="AA421" s="26" t="n"/>
      <c r="AB421" s="27" t="n"/>
      <c r="AC421" s="32">
        <f>IF(A421="","",IF(COUNTIF($H$5:$H$1004,H421)&gt;1,"DUPLICATE","UNIQUE"))</f>
        <v/>
      </c>
      <c r="AD421" s="32">
        <f>IF(A421="","",IF(AA421="Rejected",IF(AB421&lt;&gt;"","REJECTED","ADD REASON"),IF(AND(B421&lt;&gt;"",C421&lt;&gt;"",D421&lt;&gt;"",E421&lt;&gt;"",F421&lt;&gt;"",G421&lt;&gt;"",H421&lt;&gt;"",J421&lt;&gt;"",K421&lt;&gt;"",L421&lt;&gt;"",M421&lt;&gt;"",N421&lt;&gt;"",O421&lt;&gt;"",P421&lt;&gt;"",Q421&lt;&gt;"",R421&lt;&gt;"",S421&lt;&gt;"",T421&lt;&gt;"",U421&lt;&gt;"",V421&lt;&gt;"",W421&lt;&gt;"",X421&lt;&gt;"",Y421&lt;&gt;"",AC421="UNIQUE"),"READY","CHECK")))</f>
        <v/>
      </c>
    </row>
    <row r="422">
      <c r="A422" s="25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37" t="n"/>
      <c r="K422" s="34" t="n"/>
      <c r="L422" s="26" t="n"/>
      <c r="M422" s="37" t="n"/>
      <c r="N422" s="37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34" t="n"/>
      <c r="Y422" s="26" t="n"/>
      <c r="Z422" s="26" t="n"/>
      <c r="AA422" s="26" t="n"/>
      <c r="AB422" s="27" t="n"/>
      <c r="AC422" s="32">
        <f>IF(A422="","",IF(COUNTIF($H$5:$H$1004,H422)&gt;1,"DUPLICATE","UNIQUE"))</f>
        <v/>
      </c>
      <c r="AD422" s="32">
        <f>IF(A422="","",IF(AA422="Rejected",IF(AB422&lt;&gt;"","REJECTED","ADD REASON"),IF(AND(B422&lt;&gt;"",C422&lt;&gt;"",D422&lt;&gt;"",E422&lt;&gt;"",F422&lt;&gt;"",G422&lt;&gt;"",H422&lt;&gt;"",J422&lt;&gt;"",K422&lt;&gt;"",L422&lt;&gt;"",M422&lt;&gt;"",N422&lt;&gt;"",O422&lt;&gt;"",P422&lt;&gt;"",Q422&lt;&gt;"",R422&lt;&gt;"",S422&lt;&gt;"",T422&lt;&gt;"",U422&lt;&gt;"",V422&lt;&gt;"",W422&lt;&gt;"",X422&lt;&gt;"",Y422&lt;&gt;"",AC422="UNIQUE"),"READY","CHECK")))</f>
        <v/>
      </c>
    </row>
    <row r="423">
      <c r="A423" s="25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37" t="n"/>
      <c r="K423" s="34" t="n"/>
      <c r="L423" s="26" t="n"/>
      <c r="M423" s="37" t="n"/>
      <c r="N423" s="37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34" t="n"/>
      <c r="Y423" s="26" t="n"/>
      <c r="Z423" s="26" t="n"/>
      <c r="AA423" s="26" t="n"/>
      <c r="AB423" s="27" t="n"/>
      <c r="AC423" s="32">
        <f>IF(A423="","",IF(COUNTIF($H$5:$H$1004,H423)&gt;1,"DUPLICATE","UNIQUE"))</f>
        <v/>
      </c>
      <c r="AD423" s="32">
        <f>IF(A423="","",IF(AA423="Rejected",IF(AB423&lt;&gt;"","REJECTED","ADD REASON"),IF(AND(B423&lt;&gt;"",C423&lt;&gt;"",D423&lt;&gt;"",E423&lt;&gt;"",F423&lt;&gt;"",G423&lt;&gt;"",H423&lt;&gt;"",J423&lt;&gt;"",K423&lt;&gt;"",L423&lt;&gt;"",M423&lt;&gt;"",N423&lt;&gt;"",O423&lt;&gt;"",P423&lt;&gt;"",Q423&lt;&gt;"",R423&lt;&gt;"",S423&lt;&gt;"",T423&lt;&gt;"",U423&lt;&gt;"",V423&lt;&gt;"",W423&lt;&gt;"",X423&lt;&gt;"",Y423&lt;&gt;"",AC423="UNIQUE"),"READY","CHECK")))</f>
        <v/>
      </c>
    </row>
    <row r="424">
      <c r="A424" s="25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37" t="n"/>
      <c r="K424" s="34" t="n"/>
      <c r="L424" s="26" t="n"/>
      <c r="M424" s="37" t="n"/>
      <c r="N424" s="37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34" t="n"/>
      <c r="Y424" s="26" t="n"/>
      <c r="Z424" s="26" t="n"/>
      <c r="AA424" s="26" t="n"/>
      <c r="AB424" s="27" t="n"/>
      <c r="AC424" s="32">
        <f>IF(A424="","",IF(COUNTIF($H$5:$H$1004,H424)&gt;1,"DUPLICATE","UNIQUE"))</f>
        <v/>
      </c>
      <c r="AD424" s="32">
        <f>IF(A424="","",IF(AA424="Rejected",IF(AB424&lt;&gt;"","REJECTED","ADD REASON"),IF(AND(B424&lt;&gt;"",C424&lt;&gt;"",D424&lt;&gt;"",E424&lt;&gt;"",F424&lt;&gt;"",G424&lt;&gt;"",H424&lt;&gt;"",J424&lt;&gt;"",K424&lt;&gt;"",L424&lt;&gt;"",M424&lt;&gt;"",N424&lt;&gt;"",O424&lt;&gt;"",P424&lt;&gt;"",Q424&lt;&gt;"",R424&lt;&gt;"",S424&lt;&gt;"",T424&lt;&gt;"",U424&lt;&gt;"",V424&lt;&gt;"",W424&lt;&gt;"",X424&lt;&gt;"",Y424&lt;&gt;"",AC424="UNIQUE"),"READY","CHECK")))</f>
        <v/>
      </c>
    </row>
    <row r="425">
      <c r="A425" s="25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37" t="n"/>
      <c r="K425" s="34" t="n"/>
      <c r="L425" s="26" t="n"/>
      <c r="M425" s="37" t="n"/>
      <c r="N425" s="37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34" t="n"/>
      <c r="Y425" s="26" t="n"/>
      <c r="Z425" s="26" t="n"/>
      <c r="AA425" s="26" t="n"/>
      <c r="AB425" s="27" t="n"/>
      <c r="AC425" s="32">
        <f>IF(A425="","",IF(COUNTIF($H$5:$H$1004,H425)&gt;1,"DUPLICATE","UNIQUE"))</f>
        <v/>
      </c>
      <c r="AD425" s="32">
        <f>IF(A425="","",IF(AA425="Rejected",IF(AB425&lt;&gt;"","REJECTED","ADD REASON"),IF(AND(B425&lt;&gt;"",C425&lt;&gt;"",D425&lt;&gt;"",E425&lt;&gt;"",F425&lt;&gt;"",G425&lt;&gt;"",H425&lt;&gt;"",J425&lt;&gt;"",K425&lt;&gt;"",L425&lt;&gt;"",M425&lt;&gt;"",N425&lt;&gt;"",O425&lt;&gt;"",P425&lt;&gt;"",Q425&lt;&gt;"",R425&lt;&gt;"",S425&lt;&gt;"",T425&lt;&gt;"",U425&lt;&gt;"",V425&lt;&gt;"",W425&lt;&gt;"",X425&lt;&gt;"",Y425&lt;&gt;"",AC425="UNIQUE"),"READY","CHECK")))</f>
        <v/>
      </c>
    </row>
    <row r="426">
      <c r="A426" s="25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37" t="n"/>
      <c r="K426" s="34" t="n"/>
      <c r="L426" s="26" t="n"/>
      <c r="M426" s="37" t="n"/>
      <c r="N426" s="37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34" t="n"/>
      <c r="Y426" s="26" t="n"/>
      <c r="Z426" s="26" t="n"/>
      <c r="AA426" s="26" t="n"/>
      <c r="AB426" s="27" t="n"/>
      <c r="AC426" s="32">
        <f>IF(A426="","",IF(COUNTIF($H$5:$H$1004,H426)&gt;1,"DUPLICATE","UNIQUE"))</f>
        <v/>
      </c>
      <c r="AD426" s="32">
        <f>IF(A426="","",IF(AA426="Rejected",IF(AB426&lt;&gt;"","REJECTED","ADD REASON"),IF(AND(B426&lt;&gt;"",C426&lt;&gt;"",D426&lt;&gt;"",E426&lt;&gt;"",F426&lt;&gt;"",G426&lt;&gt;"",H426&lt;&gt;"",J426&lt;&gt;"",K426&lt;&gt;"",L426&lt;&gt;"",M426&lt;&gt;"",N426&lt;&gt;"",O426&lt;&gt;"",P426&lt;&gt;"",Q426&lt;&gt;"",R426&lt;&gt;"",S426&lt;&gt;"",T426&lt;&gt;"",U426&lt;&gt;"",V426&lt;&gt;"",W426&lt;&gt;"",X426&lt;&gt;"",Y426&lt;&gt;"",AC426="UNIQUE"),"READY","CHECK")))</f>
        <v/>
      </c>
    </row>
    <row r="427">
      <c r="A427" s="25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37" t="n"/>
      <c r="K427" s="34" t="n"/>
      <c r="L427" s="26" t="n"/>
      <c r="M427" s="37" t="n"/>
      <c r="N427" s="37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34" t="n"/>
      <c r="Y427" s="26" t="n"/>
      <c r="Z427" s="26" t="n"/>
      <c r="AA427" s="26" t="n"/>
      <c r="AB427" s="27" t="n"/>
      <c r="AC427" s="32">
        <f>IF(A427="","",IF(COUNTIF($H$5:$H$1004,H427)&gt;1,"DUPLICATE","UNIQUE"))</f>
        <v/>
      </c>
      <c r="AD427" s="32">
        <f>IF(A427="","",IF(AA427="Rejected",IF(AB427&lt;&gt;"","REJECTED","ADD REASON"),IF(AND(B427&lt;&gt;"",C427&lt;&gt;"",D427&lt;&gt;"",E427&lt;&gt;"",F427&lt;&gt;"",G427&lt;&gt;"",H427&lt;&gt;"",J427&lt;&gt;"",K427&lt;&gt;"",L427&lt;&gt;"",M427&lt;&gt;"",N427&lt;&gt;"",O427&lt;&gt;"",P427&lt;&gt;"",Q427&lt;&gt;"",R427&lt;&gt;"",S427&lt;&gt;"",T427&lt;&gt;"",U427&lt;&gt;"",V427&lt;&gt;"",W427&lt;&gt;"",X427&lt;&gt;"",Y427&lt;&gt;"",AC427="UNIQUE"),"READY","CHECK")))</f>
        <v/>
      </c>
    </row>
    <row r="428">
      <c r="A428" s="25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37" t="n"/>
      <c r="K428" s="34" t="n"/>
      <c r="L428" s="26" t="n"/>
      <c r="M428" s="37" t="n"/>
      <c r="N428" s="37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34" t="n"/>
      <c r="Y428" s="26" t="n"/>
      <c r="Z428" s="26" t="n"/>
      <c r="AA428" s="26" t="n"/>
      <c r="AB428" s="27" t="n"/>
      <c r="AC428" s="32">
        <f>IF(A428="","",IF(COUNTIF($H$5:$H$1004,H428)&gt;1,"DUPLICATE","UNIQUE"))</f>
        <v/>
      </c>
      <c r="AD428" s="32">
        <f>IF(A428="","",IF(AA428="Rejected",IF(AB428&lt;&gt;"","REJECTED","ADD REASON"),IF(AND(B428&lt;&gt;"",C428&lt;&gt;"",D428&lt;&gt;"",E428&lt;&gt;"",F428&lt;&gt;"",G428&lt;&gt;"",H428&lt;&gt;"",J428&lt;&gt;"",K428&lt;&gt;"",L428&lt;&gt;"",M428&lt;&gt;"",N428&lt;&gt;"",O428&lt;&gt;"",P428&lt;&gt;"",Q428&lt;&gt;"",R428&lt;&gt;"",S428&lt;&gt;"",T428&lt;&gt;"",U428&lt;&gt;"",V428&lt;&gt;"",W428&lt;&gt;"",X428&lt;&gt;"",Y428&lt;&gt;"",AC428="UNIQUE"),"READY","CHECK")))</f>
        <v/>
      </c>
    </row>
    <row r="429">
      <c r="A429" s="25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37" t="n"/>
      <c r="K429" s="34" t="n"/>
      <c r="L429" s="26" t="n"/>
      <c r="M429" s="37" t="n"/>
      <c r="N429" s="37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34" t="n"/>
      <c r="Y429" s="26" t="n"/>
      <c r="Z429" s="26" t="n"/>
      <c r="AA429" s="26" t="n"/>
      <c r="AB429" s="27" t="n"/>
      <c r="AC429" s="32">
        <f>IF(A429="","",IF(COUNTIF($H$5:$H$1004,H429)&gt;1,"DUPLICATE","UNIQUE"))</f>
        <v/>
      </c>
      <c r="AD429" s="32">
        <f>IF(A429="","",IF(AA429="Rejected",IF(AB429&lt;&gt;"","REJECTED","ADD REASON"),IF(AND(B429&lt;&gt;"",C429&lt;&gt;"",D429&lt;&gt;"",E429&lt;&gt;"",F429&lt;&gt;"",G429&lt;&gt;"",H429&lt;&gt;"",J429&lt;&gt;"",K429&lt;&gt;"",L429&lt;&gt;"",M429&lt;&gt;"",N429&lt;&gt;"",O429&lt;&gt;"",P429&lt;&gt;"",Q429&lt;&gt;"",R429&lt;&gt;"",S429&lt;&gt;"",T429&lt;&gt;"",U429&lt;&gt;"",V429&lt;&gt;"",W429&lt;&gt;"",X429&lt;&gt;"",Y429&lt;&gt;"",AC429="UNIQUE"),"READY","CHECK")))</f>
        <v/>
      </c>
    </row>
    <row r="430">
      <c r="A430" s="25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37" t="n"/>
      <c r="K430" s="34" t="n"/>
      <c r="L430" s="26" t="n"/>
      <c r="M430" s="37" t="n"/>
      <c r="N430" s="37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34" t="n"/>
      <c r="Y430" s="26" t="n"/>
      <c r="Z430" s="26" t="n"/>
      <c r="AA430" s="26" t="n"/>
      <c r="AB430" s="27" t="n"/>
      <c r="AC430" s="32">
        <f>IF(A430="","",IF(COUNTIF($H$5:$H$1004,H430)&gt;1,"DUPLICATE","UNIQUE"))</f>
        <v/>
      </c>
      <c r="AD430" s="32">
        <f>IF(A430="","",IF(AA430="Rejected",IF(AB430&lt;&gt;"","REJECTED","ADD REASON"),IF(AND(B430&lt;&gt;"",C430&lt;&gt;"",D430&lt;&gt;"",E430&lt;&gt;"",F430&lt;&gt;"",G430&lt;&gt;"",H430&lt;&gt;"",J430&lt;&gt;"",K430&lt;&gt;"",L430&lt;&gt;"",M430&lt;&gt;"",N430&lt;&gt;"",O430&lt;&gt;"",P430&lt;&gt;"",Q430&lt;&gt;"",R430&lt;&gt;"",S430&lt;&gt;"",T430&lt;&gt;"",U430&lt;&gt;"",V430&lt;&gt;"",W430&lt;&gt;"",X430&lt;&gt;"",Y430&lt;&gt;"",AC430="UNIQUE"),"READY","CHECK")))</f>
        <v/>
      </c>
    </row>
    <row r="431">
      <c r="A431" s="25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37" t="n"/>
      <c r="K431" s="34" t="n"/>
      <c r="L431" s="26" t="n"/>
      <c r="M431" s="37" t="n"/>
      <c r="N431" s="37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34" t="n"/>
      <c r="Y431" s="26" t="n"/>
      <c r="Z431" s="26" t="n"/>
      <c r="AA431" s="26" t="n"/>
      <c r="AB431" s="27" t="n"/>
      <c r="AC431" s="32">
        <f>IF(A431="","",IF(COUNTIF($H$5:$H$1004,H431)&gt;1,"DUPLICATE","UNIQUE"))</f>
        <v/>
      </c>
      <c r="AD431" s="32">
        <f>IF(A431="","",IF(AA431="Rejected",IF(AB431&lt;&gt;"","REJECTED","ADD REASON"),IF(AND(B431&lt;&gt;"",C431&lt;&gt;"",D431&lt;&gt;"",E431&lt;&gt;"",F431&lt;&gt;"",G431&lt;&gt;"",H431&lt;&gt;"",J431&lt;&gt;"",K431&lt;&gt;"",L431&lt;&gt;"",M431&lt;&gt;"",N431&lt;&gt;"",O431&lt;&gt;"",P431&lt;&gt;"",Q431&lt;&gt;"",R431&lt;&gt;"",S431&lt;&gt;"",T431&lt;&gt;"",U431&lt;&gt;"",V431&lt;&gt;"",W431&lt;&gt;"",X431&lt;&gt;"",Y431&lt;&gt;"",AC431="UNIQUE"),"READY","CHECK")))</f>
        <v/>
      </c>
    </row>
    <row r="432">
      <c r="A432" s="25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37" t="n"/>
      <c r="K432" s="34" t="n"/>
      <c r="L432" s="26" t="n"/>
      <c r="M432" s="37" t="n"/>
      <c r="N432" s="37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34" t="n"/>
      <c r="Y432" s="26" t="n"/>
      <c r="Z432" s="26" t="n"/>
      <c r="AA432" s="26" t="n"/>
      <c r="AB432" s="27" t="n"/>
      <c r="AC432" s="32">
        <f>IF(A432="","",IF(COUNTIF($H$5:$H$1004,H432)&gt;1,"DUPLICATE","UNIQUE"))</f>
        <v/>
      </c>
      <c r="AD432" s="32">
        <f>IF(A432="","",IF(AA432="Rejected",IF(AB432&lt;&gt;"","REJECTED","ADD REASON"),IF(AND(B432&lt;&gt;"",C432&lt;&gt;"",D432&lt;&gt;"",E432&lt;&gt;"",F432&lt;&gt;"",G432&lt;&gt;"",H432&lt;&gt;"",J432&lt;&gt;"",K432&lt;&gt;"",L432&lt;&gt;"",M432&lt;&gt;"",N432&lt;&gt;"",O432&lt;&gt;"",P432&lt;&gt;"",Q432&lt;&gt;"",R432&lt;&gt;"",S432&lt;&gt;"",T432&lt;&gt;"",U432&lt;&gt;"",V432&lt;&gt;"",W432&lt;&gt;"",X432&lt;&gt;"",Y432&lt;&gt;"",AC432="UNIQUE"),"READY","CHECK")))</f>
        <v/>
      </c>
    </row>
    <row r="433">
      <c r="A433" s="25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37" t="n"/>
      <c r="K433" s="34" t="n"/>
      <c r="L433" s="26" t="n"/>
      <c r="M433" s="37" t="n"/>
      <c r="N433" s="37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34" t="n"/>
      <c r="Y433" s="26" t="n"/>
      <c r="Z433" s="26" t="n"/>
      <c r="AA433" s="26" t="n"/>
      <c r="AB433" s="27" t="n"/>
      <c r="AC433" s="32">
        <f>IF(A433="","",IF(COUNTIF($H$5:$H$1004,H433)&gt;1,"DUPLICATE","UNIQUE"))</f>
        <v/>
      </c>
      <c r="AD433" s="32">
        <f>IF(A433="","",IF(AA433="Rejected",IF(AB433&lt;&gt;"","REJECTED","ADD REASON"),IF(AND(B433&lt;&gt;"",C433&lt;&gt;"",D433&lt;&gt;"",E433&lt;&gt;"",F433&lt;&gt;"",G433&lt;&gt;"",H433&lt;&gt;"",J433&lt;&gt;"",K433&lt;&gt;"",L433&lt;&gt;"",M433&lt;&gt;"",N433&lt;&gt;"",O433&lt;&gt;"",P433&lt;&gt;"",Q433&lt;&gt;"",R433&lt;&gt;"",S433&lt;&gt;"",T433&lt;&gt;"",U433&lt;&gt;"",V433&lt;&gt;"",W433&lt;&gt;"",X433&lt;&gt;"",Y433&lt;&gt;"",AC433="UNIQUE"),"READY","CHECK")))</f>
        <v/>
      </c>
    </row>
    <row r="434">
      <c r="A434" s="25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37" t="n"/>
      <c r="K434" s="34" t="n"/>
      <c r="L434" s="26" t="n"/>
      <c r="M434" s="37" t="n"/>
      <c r="N434" s="37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34" t="n"/>
      <c r="Y434" s="26" t="n"/>
      <c r="Z434" s="26" t="n"/>
      <c r="AA434" s="26" t="n"/>
      <c r="AB434" s="27" t="n"/>
      <c r="AC434" s="32">
        <f>IF(A434="","",IF(COUNTIF($H$5:$H$1004,H434)&gt;1,"DUPLICATE","UNIQUE"))</f>
        <v/>
      </c>
      <c r="AD434" s="32">
        <f>IF(A434="","",IF(AA434="Rejected",IF(AB434&lt;&gt;"","REJECTED","ADD REASON"),IF(AND(B434&lt;&gt;"",C434&lt;&gt;"",D434&lt;&gt;"",E434&lt;&gt;"",F434&lt;&gt;"",G434&lt;&gt;"",H434&lt;&gt;"",J434&lt;&gt;"",K434&lt;&gt;"",L434&lt;&gt;"",M434&lt;&gt;"",N434&lt;&gt;"",O434&lt;&gt;"",P434&lt;&gt;"",Q434&lt;&gt;"",R434&lt;&gt;"",S434&lt;&gt;"",T434&lt;&gt;"",U434&lt;&gt;"",V434&lt;&gt;"",W434&lt;&gt;"",X434&lt;&gt;"",Y434&lt;&gt;"",AC434="UNIQUE"),"READY","CHECK")))</f>
        <v/>
      </c>
    </row>
    <row r="435">
      <c r="A435" s="25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37" t="n"/>
      <c r="K435" s="34" t="n"/>
      <c r="L435" s="26" t="n"/>
      <c r="M435" s="37" t="n"/>
      <c r="N435" s="37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34" t="n"/>
      <c r="Y435" s="26" t="n"/>
      <c r="Z435" s="26" t="n"/>
      <c r="AA435" s="26" t="n"/>
      <c r="AB435" s="27" t="n"/>
      <c r="AC435" s="32">
        <f>IF(A435="","",IF(COUNTIF($H$5:$H$1004,H435)&gt;1,"DUPLICATE","UNIQUE"))</f>
        <v/>
      </c>
      <c r="AD435" s="32">
        <f>IF(A435="","",IF(AA435="Rejected",IF(AB435&lt;&gt;"","REJECTED","ADD REASON"),IF(AND(B435&lt;&gt;"",C435&lt;&gt;"",D435&lt;&gt;"",E435&lt;&gt;"",F435&lt;&gt;"",G435&lt;&gt;"",H435&lt;&gt;"",J435&lt;&gt;"",K435&lt;&gt;"",L435&lt;&gt;"",M435&lt;&gt;"",N435&lt;&gt;"",O435&lt;&gt;"",P435&lt;&gt;"",Q435&lt;&gt;"",R435&lt;&gt;"",S435&lt;&gt;"",T435&lt;&gt;"",U435&lt;&gt;"",V435&lt;&gt;"",W435&lt;&gt;"",X435&lt;&gt;"",Y435&lt;&gt;"",AC435="UNIQUE"),"READY","CHECK")))</f>
        <v/>
      </c>
    </row>
    <row r="436">
      <c r="A436" s="25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37" t="n"/>
      <c r="K436" s="34" t="n"/>
      <c r="L436" s="26" t="n"/>
      <c r="M436" s="37" t="n"/>
      <c r="N436" s="37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34" t="n"/>
      <c r="Y436" s="26" t="n"/>
      <c r="Z436" s="26" t="n"/>
      <c r="AA436" s="26" t="n"/>
      <c r="AB436" s="27" t="n"/>
      <c r="AC436" s="32">
        <f>IF(A436="","",IF(COUNTIF($H$5:$H$1004,H436)&gt;1,"DUPLICATE","UNIQUE"))</f>
        <v/>
      </c>
      <c r="AD436" s="32">
        <f>IF(A436="","",IF(AA436="Rejected",IF(AB436&lt;&gt;"","REJECTED","ADD REASON"),IF(AND(B436&lt;&gt;"",C436&lt;&gt;"",D436&lt;&gt;"",E436&lt;&gt;"",F436&lt;&gt;"",G436&lt;&gt;"",H436&lt;&gt;"",J436&lt;&gt;"",K436&lt;&gt;"",L436&lt;&gt;"",M436&lt;&gt;"",N436&lt;&gt;"",O436&lt;&gt;"",P436&lt;&gt;"",Q436&lt;&gt;"",R436&lt;&gt;"",S436&lt;&gt;"",T436&lt;&gt;"",U436&lt;&gt;"",V436&lt;&gt;"",W436&lt;&gt;"",X436&lt;&gt;"",Y436&lt;&gt;"",AC436="UNIQUE"),"READY","CHECK")))</f>
        <v/>
      </c>
    </row>
    <row r="437">
      <c r="A437" s="25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37" t="n"/>
      <c r="K437" s="34" t="n"/>
      <c r="L437" s="26" t="n"/>
      <c r="M437" s="37" t="n"/>
      <c r="N437" s="37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34" t="n"/>
      <c r="Y437" s="26" t="n"/>
      <c r="Z437" s="26" t="n"/>
      <c r="AA437" s="26" t="n"/>
      <c r="AB437" s="27" t="n"/>
      <c r="AC437" s="32">
        <f>IF(A437="","",IF(COUNTIF($H$5:$H$1004,H437)&gt;1,"DUPLICATE","UNIQUE"))</f>
        <v/>
      </c>
      <c r="AD437" s="32">
        <f>IF(A437="","",IF(AA437="Rejected",IF(AB437&lt;&gt;"","REJECTED","ADD REASON"),IF(AND(B437&lt;&gt;"",C437&lt;&gt;"",D437&lt;&gt;"",E437&lt;&gt;"",F437&lt;&gt;"",G437&lt;&gt;"",H437&lt;&gt;"",J437&lt;&gt;"",K437&lt;&gt;"",L437&lt;&gt;"",M437&lt;&gt;"",N437&lt;&gt;"",O437&lt;&gt;"",P437&lt;&gt;"",Q437&lt;&gt;"",R437&lt;&gt;"",S437&lt;&gt;"",T437&lt;&gt;"",U437&lt;&gt;"",V437&lt;&gt;"",W437&lt;&gt;"",X437&lt;&gt;"",Y437&lt;&gt;"",AC437="UNIQUE"),"READY","CHECK")))</f>
        <v/>
      </c>
    </row>
    <row r="438">
      <c r="A438" s="25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37" t="n"/>
      <c r="K438" s="34" t="n"/>
      <c r="L438" s="26" t="n"/>
      <c r="M438" s="37" t="n"/>
      <c r="N438" s="37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34" t="n"/>
      <c r="Y438" s="26" t="n"/>
      <c r="Z438" s="26" t="n"/>
      <c r="AA438" s="26" t="n"/>
      <c r="AB438" s="27" t="n"/>
      <c r="AC438" s="32">
        <f>IF(A438="","",IF(COUNTIF($H$5:$H$1004,H438)&gt;1,"DUPLICATE","UNIQUE"))</f>
        <v/>
      </c>
      <c r="AD438" s="32">
        <f>IF(A438="","",IF(AA438="Rejected",IF(AB438&lt;&gt;"","REJECTED","ADD REASON"),IF(AND(B438&lt;&gt;"",C438&lt;&gt;"",D438&lt;&gt;"",E438&lt;&gt;"",F438&lt;&gt;"",G438&lt;&gt;"",H438&lt;&gt;"",J438&lt;&gt;"",K438&lt;&gt;"",L438&lt;&gt;"",M438&lt;&gt;"",N438&lt;&gt;"",O438&lt;&gt;"",P438&lt;&gt;"",Q438&lt;&gt;"",R438&lt;&gt;"",S438&lt;&gt;"",T438&lt;&gt;"",U438&lt;&gt;"",V438&lt;&gt;"",W438&lt;&gt;"",X438&lt;&gt;"",Y438&lt;&gt;"",AC438="UNIQUE"),"READY","CHECK")))</f>
        <v/>
      </c>
    </row>
    <row r="439">
      <c r="A439" s="25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37" t="n"/>
      <c r="K439" s="34" t="n"/>
      <c r="L439" s="26" t="n"/>
      <c r="M439" s="37" t="n"/>
      <c r="N439" s="37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34" t="n"/>
      <c r="Y439" s="26" t="n"/>
      <c r="Z439" s="26" t="n"/>
      <c r="AA439" s="26" t="n"/>
      <c r="AB439" s="27" t="n"/>
      <c r="AC439" s="32">
        <f>IF(A439="","",IF(COUNTIF($H$5:$H$1004,H439)&gt;1,"DUPLICATE","UNIQUE"))</f>
        <v/>
      </c>
      <c r="AD439" s="32">
        <f>IF(A439="","",IF(AA439="Rejected",IF(AB439&lt;&gt;"","REJECTED","ADD REASON"),IF(AND(B439&lt;&gt;"",C439&lt;&gt;"",D439&lt;&gt;"",E439&lt;&gt;"",F439&lt;&gt;"",G439&lt;&gt;"",H439&lt;&gt;"",J439&lt;&gt;"",K439&lt;&gt;"",L439&lt;&gt;"",M439&lt;&gt;"",N439&lt;&gt;"",O439&lt;&gt;"",P439&lt;&gt;"",Q439&lt;&gt;"",R439&lt;&gt;"",S439&lt;&gt;"",T439&lt;&gt;"",U439&lt;&gt;"",V439&lt;&gt;"",W439&lt;&gt;"",X439&lt;&gt;"",Y439&lt;&gt;"",AC439="UNIQUE"),"READY","CHECK")))</f>
        <v/>
      </c>
    </row>
    <row r="440">
      <c r="A440" s="25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37" t="n"/>
      <c r="K440" s="34" t="n"/>
      <c r="L440" s="26" t="n"/>
      <c r="M440" s="37" t="n"/>
      <c r="N440" s="37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34" t="n"/>
      <c r="Y440" s="26" t="n"/>
      <c r="Z440" s="26" t="n"/>
      <c r="AA440" s="26" t="n"/>
      <c r="AB440" s="27" t="n"/>
      <c r="AC440" s="32">
        <f>IF(A440="","",IF(COUNTIF($H$5:$H$1004,H440)&gt;1,"DUPLICATE","UNIQUE"))</f>
        <v/>
      </c>
      <c r="AD440" s="32">
        <f>IF(A440="","",IF(AA440="Rejected",IF(AB440&lt;&gt;"","REJECTED","ADD REASON"),IF(AND(B440&lt;&gt;"",C440&lt;&gt;"",D440&lt;&gt;"",E440&lt;&gt;"",F440&lt;&gt;"",G440&lt;&gt;"",H440&lt;&gt;"",J440&lt;&gt;"",K440&lt;&gt;"",L440&lt;&gt;"",M440&lt;&gt;"",N440&lt;&gt;"",O440&lt;&gt;"",P440&lt;&gt;"",Q440&lt;&gt;"",R440&lt;&gt;"",S440&lt;&gt;"",T440&lt;&gt;"",U440&lt;&gt;"",V440&lt;&gt;"",W440&lt;&gt;"",X440&lt;&gt;"",Y440&lt;&gt;"",AC440="UNIQUE"),"READY","CHECK")))</f>
        <v/>
      </c>
    </row>
    <row r="441">
      <c r="A441" s="25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37" t="n"/>
      <c r="K441" s="34" t="n"/>
      <c r="L441" s="26" t="n"/>
      <c r="M441" s="37" t="n"/>
      <c r="N441" s="37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34" t="n"/>
      <c r="Y441" s="26" t="n"/>
      <c r="Z441" s="26" t="n"/>
      <c r="AA441" s="26" t="n"/>
      <c r="AB441" s="27" t="n"/>
      <c r="AC441" s="32">
        <f>IF(A441="","",IF(COUNTIF($H$5:$H$1004,H441)&gt;1,"DUPLICATE","UNIQUE"))</f>
        <v/>
      </c>
      <c r="AD441" s="32">
        <f>IF(A441="","",IF(AA441="Rejected",IF(AB441&lt;&gt;"","REJECTED","ADD REASON"),IF(AND(B441&lt;&gt;"",C441&lt;&gt;"",D441&lt;&gt;"",E441&lt;&gt;"",F441&lt;&gt;"",G441&lt;&gt;"",H441&lt;&gt;"",J441&lt;&gt;"",K441&lt;&gt;"",L441&lt;&gt;"",M441&lt;&gt;"",N441&lt;&gt;"",O441&lt;&gt;"",P441&lt;&gt;"",Q441&lt;&gt;"",R441&lt;&gt;"",S441&lt;&gt;"",T441&lt;&gt;"",U441&lt;&gt;"",V441&lt;&gt;"",W441&lt;&gt;"",X441&lt;&gt;"",Y441&lt;&gt;"",AC441="UNIQUE"),"READY","CHECK")))</f>
        <v/>
      </c>
    </row>
    <row r="442">
      <c r="A442" s="25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37" t="n"/>
      <c r="K442" s="34" t="n"/>
      <c r="L442" s="26" t="n"/>
      <c r="M442" s="37" t="n"/>
      <c r="N442" s="37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34" t="n"/>
      <c r="Y442" s="26" t="n"/>
      <c r="Z442" s="26" t="n"/>
      <c r="AA442" s="26" t="n"/>
      <c r="AB442" s="27" t="n"/>
      <c r="AC442" s="32">
        <f>IF(A442="","",IF(COUNTIF($H$5:$H$1004,H442)&gt;1,"DUPLICATE","UNIQUE"))</f>
        <v/>
      </c>
      <c r="AD442" s="32">
        <f>IF(A442="","",IF(AA442="Rejected",IF(AB442&lt;&gt;"","REJECTED","ADD REASON"),IF(AND(B442&lt;&gt;"",C442&lt;&gt;"",D442&lt;&gt;"",E442&lt;&gt;"",F442&lt;&gt;"",G442&lt;&gt;"",H442&lt;&gt;"",J442&lt;&gt;"",K442&lt;&gt;"",L442&lt;&gt;"",M442&lt;&gt;"",N442&lt;&gt;"",O442&lt;&gt;"",P442&lt;&gt;"",Q442&lt;&gt;"",R442&lt;&gt;"",S442&lt;&gt;"",T442&lt;&gt;"",U442&lt;&gt;"",V442&lt;&gt;"",W442&lt;&gt;"",X442&lt;&gt;"",Y442&lt;&gt;"",AC442="UNIQUE"),"READY","CHECK")))</f>
        <v/>
      </c>
    </row>
    <row r="443">
      <c r="A443" s="25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37" t="n"/>
      <c r="K443" s="34" t="n"/>
      <c r="L443" s="26" t="n"/>
      <c r="M443" s="37" t="n"/>
      <c r="N443" s="37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34" t="n"/>
      <c r="Y443" s="26" t="n"/>
      <c r="Z443" s="26" t="n"/>
      <c r="AA443" s="26" t="n"/>
      <c r="AB443" s="27" t="n"/>
      <c r="AC443" s="32">
        <f>IF(A443="","",IF(COUNTIF($H$5:$H$1004,H443)&gt;1,"DUPLICATE","UNIQUE"))</f>
        <v/>
      </c>
      <c r="AD443" s="32">
        <f>IF(A443="","",IF(AA443="Rejected",IF(AB443&lt;&gt;"","REJECTED","ADD REASON"),IF(AND(B443&lt;&gt;"",C443&lt;&gt;"",D443&lt;&gt;"",E443&lt;&gt;"",F443&lt;&gt;"",G443&lt;&gt;"",H443&lt;&gt;"",J443&lt;&gt;"",K443&lt;&gt;"",L443&lt;&gt;"",M443&lt;&gt;"",N443&lt;&gt;"",O443&lt;&gt;"",P443&lt;&gt;"",Q443&lt;&gt;"",R443&lt;&gt;"",S443&lt;&gt;"",T443&lt;&gt;"",U443&lt;&gt;"",V443&lt;&gt;"",W443&lt;&gt;"",X443&lt;&gt;"",Y443&lt;&gt;"",AC443="UNIQUE"),"READY","CHECK")))</f>
        <v/>
      </c>
    </row>
    <row r="444">
      <c r="A444" s="25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37" t="n"/>
      <c r="K444" s="34" t="n"/>
      <c r="L444" s="26" t="n"/>
      <c r="M444" s="37" t="n"/>
      <c r="N444" s="37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34" t="n"/>
      <c r="Y444" s="26" t="n"/>
      <c r="Z444" s="26" t="n"/>
      <c r="AA444" s="26" t="n"/>
      <c r="AB444" s="27" t="n"/>
      <c r="AC444" s="32">
        <f>IF(A444="","",IF(COUNTIF($H$5:$H$1004,H444)&gt;1,"DUPLICATE","UNIQUE"))</f>
        <v/>
      </c>
      <c r="AD444" s="32">
        <f>IF(A444="","",IF(AA444="Rejected",IF(AB444&lt;&gt;"","REJECTED","ADD REASON"),IF(AND(B444&lt;&gt;"",C444&lt;&gt;"",D444&lt;&gt;"",E444&lt;&gt;"",F444&lt;&gt;"",G444&lt;&gt;"",H444&lt;&gt;"",J444&lt;&gt;"",K444&lt;&gt;"",L444&lt;&gt;"",M444&lt;&gt;"",N444&lt;&gt;"",O444&lt;&gt;"",P444&lt;&gt;"",Q444&lt;&gt;"",R444&lt;&gt;"",S444&lt;&gt;"",T444&lt;&gt;"",U444&lt;&gt;"",V444&lt;&gt;"",W444&lt;&gt;"",X444&lt;&gt;"",Y444&lt;&gt;"",AC444="UNIQUE"),"READY","CHECK")))</f>
        <v/>
      </c>
    </row>
    <row r="445">
      <c r="A445" s="25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37" t="n"/>
      <c r="K445" s="34" t="n"/>
      <c r="L445" s="26" t="n"/>
      <c r="M445" s="37" t="n"/>
      <c r="N445" s="37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34" t="n"/>
      <c r="Y445" s="26" t="n"/>
      <c r="Z445" s="26" t="n"/>
      <c r="AA445" s="26" t="n"/>
      <c r="AB445" s="27" t="n"/>
      <c r="AC445" s="32">
        <f>IF(A445="","",IF(COUNTIF($H$5:$H$1004,H445)&gt;1,"DUPLICATE","UNIQUE"))</f>
        <v/>
      </c>
      <c r="AD445" s="32">
        <f>IF(A445="","",IF(AA445="Rejected",IF(AB445&lt;&gt;"","REJECTED","ADD REASON"),IF(AND(B445&lt;&gt;"",C445&lt;&gt;"",D445&lt;&gt;"",E445&lt;&gt;"",F445&lt;&gt;"",G445&lt;&gt;"",H445&lt;&gt;"",J445&lt;&gt;"",K445&lt;&gt;"",L445&lt;&gt;"",M445&lt;&gt;"",N445&lt;&gt;"",O445&lt;&gt;"",P445&lt;&gt;"",Q445&lt;&gt;"",R445&lt;&gt;"",S445&lt;&gt;"",T445&lt;&gt;"",U445&lt;&gt;"",V445&lt;&gt;"",W445&lt;&gt;"",X445&lt;&gt;"",Y445&lt;&gt;"",AC445="UNIQUE"),"READY","CHECK")))</f>
        <v/>
      </c>
    </row>
    <row r="446">
      <c r="A446" s="25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37" t="n"/>
      <c r="K446" s="34" t="n"/>
      <c r="L446" s="26" t="n"/>
      <c r="M446" s="37" t="n"/>
      <c r="N446" s="37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34" t="n"/>
      <c r="Y446" s="26" t="n"/>
      <c r="Z446" s="26" t="n"/>
      <c r="AA446" s="26" t="n"/>
      <c r="AB446" s="27" t="n"/>
      <c r="AC446" s="32">
        <f>IF(A446="","",IF(COUNTIF($H$5:$H$1004,H446)&gt;1,"DUPLICATE","UNIQUE"))</f>
        <v/>
      </c>
      <c r="AD446" s="32">
        <f>IF(A446="","",IF(AA446="Rejected",IF(AB446&lt;&gt;"","REJECTED","ADD REASON"),IF(AND(B446&lt;&gt;"",C446&lt;&gt;"",D446&lt;&gt;"",E446&lt;&gt;"",F446&lt;&gt;"",G446&lt;&gt;"",H446&lt;&gt;"",J446&lt;&gt;"",K446&lt;&gt;"",L446&lt;&gt;"",M446&lt;&gt;"",N446&lt;&gt;"",O446&lt;&gt;"",P446&lt;&gt;"",Q446&lt;&gt;"",R446&lt;&gt;"",S446&lt;&gt;"",T446&lt;&gt;"",U446&lt;&gt;"",V446&lt;&gt;"",W446&lt;&gt;"",X446&lt;&gt;"",Y446&lt;&gt;"",AC446="UNIQUE"),"READY","CHECK")))</f>
        <v/>
      </c>
    </row>
    <row r="447">
      <c r="A447" s="25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37" t="n"/>
      <c r="K447" s="34" t="n"/>
      <c r="L447" s="26" t="n"/>
      <c r="M447" s="37" t="n"/>
      <c r="N447" s="37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34" t="n"/>
      <c r="Y447" s="26" t="n"/>
      <c r="Z447" s="26" t="n"/>
      <c r="AA447" s="26" t="n"/>
      <c r="AB447" s="27" t="n"/>
      <c r="AC447" s="32">
        <f>IF(A447="","",IF(COUNTIF($H$5:$H$1004,H447)&gt;1,"DUPLICATE","UNIQUE"))</f>
        <v/>
      </c>
      <c r="AD447" s="32">
        <f>IF(A447="","",IF(AA447="Rejected",IF(AB447&lt;&gt;"","REJECTED","ADD REASON"),IF(AND(B447&lt;&gt;"",C447&lt;&gt;"",D447&lt;&gt;"",E447&lt;&gt;"",F447&lt;&gt;"",G447&lt;&gt;"",H447&lt;&gt;"",J447&lt;&gt;"",K447&lt;&gt;"",L447&lt;&gt;"",M447&lt;&gt;"",N447&lt;&gt;"",O447&lt;&gt;"",P447&lt;&gt;"",Q447&lt;&gt;"",R447&lt;&gt;"",S447&lt;&gt;"",T447&lt;&gt;"",U447&lt;&gt;"",V447&lt;&gt;"",W447&lt;&gt;"",X447&lt;&gt;"",Y447&lt;&gt;"",AC447="UNIQUE"),"READY","CHECK")))</f>
        <v/>
      </c>
    </row>
    <row r="448">
      <c r="A448" s="25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37" t="n"/>
      <c r="K448" s="34" t="n"/>
      <c r="L448" s="26" t="n"/>
      <c r="M448" s="37" t="n"/>
      <c r="N448" s="37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34" t="n"/>
      <c r="Y448" s="26" t="n"/>
      <c r="Z448" s="26" t="n"/>
      <c r="AA448" s="26" t="n"/>
      <c r="AB448" s="27" t="n"/>
      <c r="AC448" s="32">
        <f>IF(A448="","",IF(COUNTIF($H$5:$H$1004,H448)&gt;1,"DUPLICATE","UNIQUE"))</f>
        <v/>
      </c>
      <c r="AD448" s="32">
        <f>IF(A448="","",IF(AA448="Rejected",IF(AB448&lt;&gt;"","REJECTED","ADD REASON"),IF(AND(B448&lt;&gt;"",C448&lt;&gt;"",D448&lt;&gt;"",E448&lt;&gt;"",F448&lt;&gt;"",G448&lt;&gt;"",H448&lt;&gt;"",J448&lt;&gt;"",K448&lt;&gt;"",L448&lt;&gt;"",M448&lt;&gt;"",N448&lt;&gt;"",O448&lt;&gt;"",P448&lt;&gt;"",Q448&lt;&gt;"",R448&lt;&gt;"",S448&lt;&gt;"",T448&lt;&gt;"",U448&lt;&gt;"",V448&lt;&gt;"",W448&lt;&gt;"",X448&lt;&gt;"",Y448&lt;&gt;"",AC448="UNIQUE"),"READY","CHECK")))</f>
        <v/>
      </c>
    </row>
    <row r="449">
      <c r="A449" s="25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37" t="n"/>
      <c r="K449" s="34" t="n"/>
      <c r="L449" s="26" t="n"/>
      <c r="M449" s="37" t="n"/>
      <c r="N449" s="37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34" t="n"/>
      <c r="Y449" s="26" t="n"/>
      <c r="Z449" s="26" t="n"/>
      <c r="AA449" s="26" t="n"/>
      <c r="AB449" s="27" t="n"/>
      <c r="AC449" s="32">
        <f>IF(A449="","",IF(COUNTIF($H$5:$H$1004,H449)&gt;1,"DUPLICATE","UNIQUE"))</f>
        <v/>
      </c>
      <c r="AD449" s="32">
        <f>IF(A449="","",IF(AA449="Rejected",IF(AB449&lt;&gt;"","REJECTED","ADD REASON"),IF(AND(B449&lt;&gt;"",C449&lt;&gt;"",D449&lt;&gt;"",E449&lt;&gt;"",F449&lt;&gt;"",G449&lt;&gt;"",H449&lt;&gt;"",J449&lt;&gt;"",K449&lt;&gt;"",L449&lt;&gt;"",M449&lt;&gt;"",N449&lt;&gt;"",O449&lt;&gt;"",P449&lt;&gt;"",Q449&lt;&gt;"",R449&lt;&gt;"",S449&lt;&gt;"",T449&lt;&gt;"",U449&lt;&gt;"",V449&lt;&gt;"",W449&lt;&gt;"",X449&lt;&gt;"",Y449&lt;&gt;"",AC449="UNIQUE"),"READY","CHECK")))</f>
        <v/>
      </c>
    </row>
    <row r="450">
      <c r="A450" s="25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37" t="n"/>
      <c r="K450" s="34" t="n"/>
      <c r="L450" s="26" t="n"/>
      <c r="M450" s="37" t="n"/>
      <c r="N450" s="37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34" t="n"/>
      <c r="Y450" s="26" t="n"/>
      <c r="Z450" s="26" t="n"/>
      <c r="AA450" s="26" t="n"/>
      <c r="AB450" s="27" t="n"/>
      <c r="AC450" s="32">
        <f>IF(A450="","",IF(COUNTIF($H$5:$H$1004,H450)&gt;1,"DUPLICATE","UNIQUE"))</f>
        <v/>
      </c>
      <c r="AD450" s="32">
        <f>IF(A450="","",IF(AA450="Rejected",IF(AB450&lt;&gt;"","REJECTED","ADD REASON"),IF(AND(B450&lt;&gt;"",C450&lt;&gt;"",D450&lt;&gt;"",E450&lt;&gt;"",F450&lt;&gt;"",G450&lt;&gt;"",H450&lt;&gt;"",J450&lt;&gt;"",K450&lt;&gt;"",L450&lt;&gt;"",M450&lt;&gt;"",N450&lt;&gt;"",O450&lt;&gt;"",P450&lt;&gt;"",Q450&lt;&gt;"",R450&lt;&gt;"",S450&lt;&gt;"",T450&lt;&gt;"",U450&lt;&gt;"",V450&lt;&gt;"",W450&lt;&gt;"",X450&lt;&gt;"",Y450&lt;&gt;"",AC450="UNIQUE"),"READY","CHECK")))</f>
        <v/>
      </c>
    </row>
    <row r="451">
      <c r="A451" s="25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37" t="n"/>
      <c r="K451" s="34" t="n"/>
      <c r="L451" s="26" t="n"/>
      <c r="M451" s="37" t="n"/>
      <c r="N451" s="37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34" t="n"/>
      <c r="Y451" s="26" t="n"/>
      <c r="Z451" s="26" t="n"/>
      <c r="AA451" s="26" t="n"/>
      <c r="AB451" s="27" t="n"/>
      <c r="AC451" s="32">
        <f>IF(A451="","",IF(COUNTIF($H$5:$H$1004,H451)&gt;1,"DUPLICATE","UNIQUE"))</f>
        <v/>
      </c>
      <c r="AD451" s="32">
        <f>IF(A451="","",IF(AA451="Rejected",IF(AB451&lt;&gt;"","REJECTED","ADD REASON"),IF(AND(B451&lt;&gt;"",C451&lt;&gt;"",D451&lt;&gt;"",E451&lt;&gt;"",F451&lt;&gt;"",G451&lt;&gt;"",H451&lt;&gt;"",J451&lt;&gt;"",K451&lt;&gt;"",L451&lt;&gt;"",M451&lt;&gt;"",N451&lt;&gt;"",O451&lt;&gt;"",P451&lt;&gt;"",Q451&lt;&gt;"",R451&lt;&gt;"",S451&lt;&gt;"",T451&lt;&gt;"",U451&lt;&gt;"",V451&lt;&gt;"",W451&lt;&gt;"",X451&lt;&gt;"",Y451&lt;&gt;"",AC451="UNIQUE"),"READY","CHECK")))</f>
        <v/>
      </c>
    </row>
    <row r="452">
      <c r="A452" s="25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37" t="n"/>
      <c r="K452" s="34" t="n"/>
      <c r="L452" s="26" t="n"/>
      <c r="M452" s="37" t="n"/>
      <c r="N452" s="37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34" t="n"/>
      <c r="Y452" s="26" t="n"/>
      <c r="Z452" s="26" t="n"/>
      <c r="AA452" s="26" t="n"/>
      <c r="AB452" s="27" t="n"/>
      <c r="AC452" s="32">
        <f>IF(A452="","",IF(COUNTIF($H$5:$H$1004,H452)&gt;1,"DUPLICATE","UNIQUE"))</f>
        <v/>
      </c>
      <c r="AD452" s="32">
        <f>IF(A452="","",IF(AA452="Rejected",IF(AB452&lt;&gt;"","REJECTED","ADD REASON"),IF(AND(B452&lt;&gt;"",C452&lt;&gt;"",D452&lt;&gt;"",E452&lt;&gt;"",F452&lt;&gt;"",G452&lt;&gt;"",H452&lt;&gt;"",J452&lt;&gt;"",K452&lt;&gt;"",L452&lt;&gt;"",M452&lt;&gt;"",N452&lt;&gt;"",O452&lt;&gt;"",P452&lt;&gt;"",Q452&lt;&gt;"",R452&lt;&gt;"",S452&lt;&gt;"",T452&lt;&gt;"",U452&lt;&gt;"",V452&lt;&gt;"",W452&lt;&gt;"",X452&lt;&gt;"",Y452&lt;&gt;"",AC452="UNIQUE"),"READY","CHECK")))</f>
        <v/>
      </c>
    </row>
    <row r="453">
      <c r="A453" s="25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37" t="n"/>
      <c r="K453" s="34" t="n"/>
      <c r="L453" s="26" t="n"/>
      <c r="M453" s="37" t="n"/>
      <c r="N453" s="37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34" t="n"/>
      <c r="Y453" s="26" t="n"/>
      <c r="Z453" s="26" t="n"/>
      <c r="AA453" s="26" t="n"/>
      <c r="AB453" s="27" t="n"/>
      <c r="AC453" s="32">
        <f>IF(A453="","",IF(COUNTIF($H$5:$H$1004,H453)&gt;1,"DUPLICATE","UNIQUE"))</f>
        <v/>
      </c>
      <c r="AD453" s="32">
        <f>IF(A453="","",IF(AA453="Rejected",IF(AB453&lt;&gt;"","REJECTED","ADD REASON"),IF(AND(B453&lt;&gt;"",C453&lt;&gt;"",D453&lt;&gt;"",E453&lt;&gt;"",F453&lt;&gt;"",G453&lt;&gt;"",H453&lt;&gt;"",J453&lt;&gt;"",K453&lt;&gt;"",L453&lt;&gt;"",M453&lt;&gt;"",N453&lt;&gt;"",O453&lt;&gt;"",P453&lt;&gt;"",Q453&lt;&gt;"",R453&lt;&gt;"",S453&lt;&gt;"",T453&lt;&gt;"",U453&lt;&gt;"",V453&lt;&gt;"",W453&lt;&gt;"",X453&lt;&gt;"",Y453&lt;&gt;"",AC453="UNIQUE"),"READY","CHECK")))</f>
        <v/>
      </c>
    </row>
    <row r="454">
      <c r="A454" s="25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37" t="n"/>
      <c r="K454" s="34" t="n"/>
      <c r="L454" s="26" t="n"/>
      <c r="M454" s="37" t="n"/>
      <c r="N454" s="37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34" t="n"/>
      <c r="Y454" s="26" t="n"/>
      <c r="Z454" s="26" t="n"/>
      <c r="AA454" s="26" t="n"/>
      <c r="AB454" s="27" t="n"/>
      <c r="AC454" s="32">
        <f>IF(A454="","",IF(COUNTIF($H$5:$H$1004,H454)&gt;1,"DUPLICATE","UNIQUE"))</f>
        <v/>
      </c>
      <c r="AD454" s="32">
        <f>IF(A454="","",IF(AA454="Rejected",IF(AB454&lt;&gt;"","REJECTED","ADD REASON"),IF(AND(B454&lt;&gt;"",C454&lt;&gt;"",D454&lt;&gt;"",E454&lt;&gt;"",F454&lt;&gt;"",G454&lt;&gt;"",H454&lt;&gt;"",J454&lt;&gt;"",K454&lt;&gt;"",L454&lt;&gt;"",M454&lt;&gt;"",N454&lt;&gt;"",O454&lt;&gt;"",P454&lt;&gt;"",Q454&lt;&gt;"",R454&lt;&gt;"",S454&lt;&gt;"",T454&lt;&gt;"",U454&lt;&gt;"",V454&lt;&gt;"",W454&lt;&gt;"",X454&lt;&gt;"",Y454&lt;&gt;"",AC454="UNIQUE"),"READY","CHECK")))</f>
        <v/>
      </c>
    </row>
    <row r="455">
      <c r="A455" s="25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37" t="n"/>
      <c r="K455" s="34" t="n"/>
      <c r="L455" s="26" t="n"/>
      <c r="M455" s="37" t="n"/>
      <c r="N455" s="37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34" t="n"/>
      <c r="Y455" s="26" t="n"/>
      <c r="Z455" s="26" t="n"/>
      <c r="AA455" s="26" t="n"/>
      <c r="AB455" s="27" t="n"/>
      <c r="AC455" s="32">
        <f>IF(A455="","",IF(COUNTIF($H$5:$H$1004,H455)&gt;1,"DUPLICATE","UNIQUE"))</f>
        <v/>
      </c>
      <c r="AD455" s="32">
        <f>IF(A455="","",IF(AA455="Rejected",IF(AB455&lt;&gt;"","REJECTED","ADD REASON"),IF(AND(B455&lt;&gt;"",C455&lt;&gt;"",D455&lt;&gt;"",E455&lt;&gt;"",F455&lt;&gt;"",G455&lt;&gt;"",H455&lt;&gt;"",J455&lt;&gt;"",K455&lt;&gt;"",L455&lt;&gt;"",M455&lt;&gt;"",N455&lt;&gt;"",O455&lt;&gt;"",P455&lt;&gt;"",Q455&lt;&gt;"",R455&lt;&gt;"",S455&lt;&gt;"",T455&lt;&gt;"",U455&lt;&gt;"",V455&lt;&gt;"",W455&lt;&gt;"",X455&lt;&gt;"",Y455&lt;&gt;"",AC455="UNIQUE"),"READY","CHECK")))</f>
        <v/>
      </c>
    </row>
    <row r="456">
      <c r="A456" s="25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37" t="n"/>
      <c r="K456" s="34" t="n"/>
      <c r="L456" s="26" t="n"/>
      <c r="M456" s="37" t="n"/>
      <c r="N456" s="37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34" t="n"/>
      <c r="Y456" s="26" t="n"/>
      <c r="Z456" s="26" t="n"/>
      <c r="AA456" s="26" t="n"/>
      <c r="AB456" s="27" t="n"/>
      <c r="AC456" s="32">
        <f>IF(A456="","",IF(COUNTIF($H$5:$H$1004,H456)&gt;1,"DUPLICATE","UNIQUE"))</f>
        <v/>
      </c>
      <c r="AD456" s="32">
        <f>IF(A456="","",IF(AA456="Rejected",IF(AB456&lt;&gt;"","REJECTED","ADD REASON"),IF(AND(B456&lt;&gt;"",C456&lt;&gt;"",D456&lt;&gt;"",E456&lt;&gt;"",F456&lt;&gt;"",G456&lt;&gt;"",H456&lt;&gt;"",J456&lt;&gt;"",K456&lt;&gt;"",L456&lt;&gt;"",M456&lt;&gt;"",N456&lt;&gt;"",O456&lt;&gt;"",P456&lt;&gt;"",Q456&lt;&gt;"",R456&lt;&gt;"",S456&lt;&gt;"",T456&lt;&gt;"",U456&lt;&gt;"",V456&lt;&gt;"",W456&lt;&gt;"",X456&lt;&gt;"",Y456&lt;&gt;"",AC456="UNIQUE"),"READY","CHECK")))</f>
        <v/>
      </c>
    </row>
    <row r="457">
      <c r="A457" s="25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37" t="n"/>
      <c r="K457" s="34" t="n"/>
      <c r="L457" s="26" t="n"/>
      <c r="M457" s="37" t="n"/>
      <c r="N457" s="37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34" t="n"/>
      <c r="Y457" s="26" t="n"/>
      <c r="Z457" s="26" t="n"/>
      <c r="AA457" s="26" t="n"/>
      <c r="AB457" s="27" t="n"/>
      <c r="AC457" s="32">
        <f>IF(A457="","",IF(COUNTIF($H$5:$H$1004,H457)&gt;1,"DUPLICATE","UNIQUE"))</f>
        <v/>
      </c>
      <c r="AD457" s="32">
        <f>IF(A457="","",IF(AA457="Rejected",IF(AB457&lt;&gt;"","REJECTED","ADD REASON"),IF(AND(B457&lt;&gt;"",C457&lt;&gt;"",D457&lt;&gt;"",E457&lt;&gt;"",F457&lt;&gt;"",G457&lt;&gt;"",H457&lt;&gt;"",J457&lt;&gt;"",K457&lt;&gt;"",L457&lt;&gt;"",M457&lt;&gt;"",N457&lt;&gt;"",O457&lt;&gt;"",P457&lt;&gt;"",Q457&lt;&gt;"",R457&lt;&gt;"",S457&lt;&gt;"",T457&lt;&gt;"",U457&lt;&gt;"",V457&lt;&gt;"",W457&lt;&gt;"",X457&lt;&gt;"",Y457&lt;&gt;"",AC457="UNIQUE"),"READY","CHECK")))</f>
        <v/>
      </c>
    </row>
    <row r="458">
      <c r="A458" s="25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37" t="n"/>
      <c r="K458" s="34" t="n"/>
      <c r="L458" s="26" t="n"/>
      <c r="M458" s="37" t="n"/>
      <c r="N458" s="37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34" t="n"/>
      <c r="Y458" s="26" t="n"/>
      <c r="Z458" s="26" t="n"/>
      <c r="AA458" s="26" t="n"/>
      <c r="AB458" s="27" t="n"/>
      <c r="AC458" s="32">
        <f>IF(A458="","",IF(COUNTIF($H$5:$H$1004,H458)&gt;1,"DUPLICATE","UNIQUE"))</f>
        <v/>
      </c>
      <c r="AD458" s="32">
        <f>IF(A458="","",IF(AA458="Rejected",IF(AB458&lt;&gt;"","REJECTED","ADD REASON"),IF(AND(B458&lt;&gt;"",C458&lt;&gt;"",D458&lt;&gt;"",E458&lt;&gt;"",F458&lt;&gt;"",G458&lt;&gt;"",H458&lt;&gt;"",J458&lt;&gt;"",K458&lt;&gt;"",L458&lt;&gt;"",M458&lt;&gt;"",N458&lt;&gt;"",O458&lt;&gt;"",P458&lt;&gt;"",Q458&lt;&gt;"",R458&lt;&gt;"",S458&lt;&gt;"",T458&lt;&gt;"",U458&lt;&gt;"",V458&lt;&gt;"",W458&lt;&gt;"",X458&lt;&gt;"",Y458&lt;&gt;"",AC458="UNIQUE"),"READY","CHECK")))</f>
        <v/>
      </c>
    </row>
    <row r="459">
      <c r="A459" s="25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37" t="n"/>
      <c r="K459" s="34" t="n"/>
      <c r="L459" s="26" t="n"/>
      <c r="M459" s="37" t="n"/>
      <c r="N459" s="37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34" t="n"/>
      <c r="Y459" s="26" t="n"/>
      <c r="Z459" s="26" t="n"/>
      <c r="AA459" s="26" t="n"/>
      <c r="AB459" s="27" t="n"/>
      <c r="AC459" s="32">
        <f>IF(A459="","",IF(COUNTIF($H$5:$H$1004,H459)&gt;1,"DUPLICATE","UNIQUE"))</f>
        <v/>
      </c>
      <c r="AD459" s="32">
        <f>IF(A459="","",IF(AA459="Rejected",IF(AB459&lt;&gt;"","REJECTED","ADD REASON"),IF(AND(B459&lt;&gt;"",C459&lt;&gt;"",D459&lt;&gt;"",E459&lt;&gt;"",F459&lt;&gt;"",G459&lt;&gt;"",H459&lt;&gt;"",J459&lt;&gt;"",K459&lt;&gt;"",L459&lt;&gt;"",M459&lt;&gt;"",N459&lt;&gt;"",O459&lt;&gt;"",P459&lt;&gt;"",Q459&lt;&gt;"",R459&lt;&gt;"",S459&lt;&gt;"",T459&lt;&gt;"",U459&lt;&gt;"",V459&lt;&gt;"",W459&lt;&gt;"",X459&lt;&gt;"",Y459&lt;&gt;"",AC459="UNIQUE"),"READY","CHECK")))</f>
        <v/>
      </c>
    </row>
    <row r="460">
      <c r="A460" s="25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37" t="n"/>
      <c r="K460" s="34" t="n"/>
      <c r="L460" s="26" t="n"/>
      <c r="M460" s="37" t="n"/>
      <c r="N460" s="37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34" t="n"/>
      <c r="Y460" s="26" t="n"/>
      <c r="Z460" s="26" t="n"/>
      <c r="AA460" s="26" t="n"/>
      <c r="AB460" s="27" t="n"/>
      <c r="AC460" s="32">
        <f>IF(A460="","",IF(COUNTIF($H$5:$H$1004,H460)&gt;1,"DUPLICATE","UNIQUE"))</f>
        <v/>
      </c>
      <c r="AD460" s="32">
        <f>IF(A460="","",IF(AA460="Rejected",IF(AB460&lt;&gt;"","REJECTED","ADD REASON"),IF(AND(B460&lt;&gt;"",C460&lt;&gt;"",D460&lt;&gt;"",E460&lt;&gt;"",F460&lt;&gt;"",G460&lt;&gt;"",H460&lt;&gt;"",J460&lt;&gt;"",K460&lt;&gt;"",L460&lt;&gt;"",M460&lt;&gt;"",N460&lt;&gt;"",O460&lt;&gt;"",P460&lt;&gt;"",Q460&lt;&gt;"",R460&lt;&gt;"",S460&lt;&gt;"",T460&lt;&gt;"",U460&lt;&gt;"",V460&lt;&gt;"",W460&lt;&gt;"",X460&lt;&gt;"",Y460&lt;&gt;"",AC460="UNIQUE"),"READY","CHECK")))</f>
        <v/>
      </c>
    </row>
    <row r="461">
      <c r="A461" s="25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37" t="n"/>
      <c r="K461" s="34" t="n"/>
      <c r="L461" s="26" t="n"/>
      <c r="M461" s="37" t="n"/>
      <c r="N461" s="37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34" t="n"/>
      <c r="Y461" s="26" t="n"/>
      <c r="Z461" s="26" t="n"/>
      <c r="AA461" s="26" t="n"/>
      <c r="AB461" s="27" t="n"/>
      <c r="AC461" s="32">
        <f>IF(A461="","",IF(COUNTIF($H$5:$H$1004,H461)&gt;1,"DUPLICATE","UNIQUE"))</f>
        <v/>
      </c>
      <c r="AD461" s="32">
        <f>IF(A461="","",IF(AA461="Rejected",IF(AB461&lt;&gt;"","REJECTED","ADD REASON"),IF(AND(B461&lt;&gt;"",C461&lt;&gt;"",D461&lt;&gt;"",E461&lt;&gt;"",F461&lt;&gt;"",G461&lt;&gt;"",H461&lt;&gt;"",J461&lt;&gt;"",K461&lt;&gt;"",L461&lt;&gt;"",M461&lt;&gt;"",N461&lt;&gt;"",O461&lt;&gt;"",P461&lt;&gt;"",Q461&lt;&gt;"",R461&lt;&gt;"",S461&lt;&gt;"",T461&lt;&gt;"",U461&lt;&gt;"",V461&lt;&gt;"",W461&lt;&gt;"",X461&lt;&gt;"",Y461&lt;&gt;"",AC461="UNIQUE"),"READY","CHECK")))</f>
        <v/>
      </c>
    </row>
    <row r="462">
      <c r="A462" s="25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37" t="n"/>
      <c r="K462" s="34" t="n"/>
      <c r="L462" s="26" t="n"/>
      <c r="M462" s="37" t="n"/>
      <c r="N462" s="37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34" t="n"/>
      <c r="Y462" s="26" t="n"/>
      <c r="Z462" s="26" t="n"/>
      <c r="AA462" s="26" t="n"/>
      <c r="AB462" s="27" t="n"/>
      <c r="AC462" s="32">
        <f>IF(A462="","",IF(COUNTIF($H$5:$H$1004,H462)&gt;1,"DUPLICATE","UNIQUE"))</f>
        <v/>
      </c>
      <c r="AD462" s="32">
        <f>IF(A462="","",IF(AA462="Rejected",IF(AB462&lt;&gt;"","REJECTED","ADD REASON"),IF(AND(B462&lt;&gt;"",C462&lt;&gt;"",D462&lt;&gt;"",E462&lt;&gt;"",F462&lt;&gt;"",G462&lt;&gt;"",H462&lt;&gt;"",J462&lt;&gt;"",K462&lt;&gt;"",L462&lt;&gt;"",M462&lt;&gt;"",N462&lt;&gt;"",O462&lt;&gt;"",P462&lt;&gt;"",Q462&lt;&gt;"",R462&lt;&gt;"",S462&lt;&gt;"",T462&lt;&gt;"",U462&lt;&gt;"",V462&lt;&gt;"",W462&lt;&gt;"",X462&lt;&gt;"",Y462&lt;&gt;"",AC462="UNIQUE"),"READY","CHECK")))</f>
        <v/>
      </c>
    </row>
    <row r="463">
      <c r="A463" s="25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37" t="n"/>
      <c r="K463" s="34" t="n"/>
      <c r="L463" s="26" t="n"/>
      <c r="M463" s="37" t="n"/>
      <c r="N463" s="37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34" t="n"/>
      <c r="Y463" s="26" t="n"/>
      <c r="Z463" s="26" t="n"/>
      <c r="AA463" s="26" t="n"/>
      <c r="AB463" s="27" t="n"/>
      <c r="AC463" s="32">
        <f>IF(A463="","",IF(COUNTIF($H$5:$H$1004,H463)&gt;1,"DUPLICATE","UNIQUE"))</f>
        <v/>
      </c>
      <c r="AD463" s="32">
        <f>IF(A463="","",IF(AA463="Rejected",IF(AB463&lt;&gt;"","REJECTED","ADD REASON"),IF(AND(B463&lt;&gt;"",C463&lt;&gt;"",D463&lt;&gt;"",E463&lt;&gt;"",F463&lt;&gt;"",G463&lt;&gt;"",H463&lt;&gt;"",J463&lt;&gt;"",K463&lt;&gt;"",L463&lt;&gt;"",M463&lt;&gt;"",N463&lt;&gt;"",O463&lt;&gt;"",P463&lt;&gt;"",Q463&lt;&gt;"",R463&lt;&gt;"",S463&lt;&gt;"",T463&lt;&gt;"",U463&lt;&gt;"",V463&lt;&gt;"",W463&lt;&gt;"",X463&lt;&gt;"",Y463&lt;&gt;"",AC463="UNIQUE"),"READY","CHECK")))</f>
        <v/>
      </c>
    </row>
    <row r="464">
      <c r="A464" s="25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37" t="n"/>
      <c r="K464" s="34" t="n"/>
      <c r="L464" s="26" t="n"/>
      <c r="M464" s="37" t="n"/>
      <c r="N464" s="37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34" t="n"/>
      <c r="Y464" s="26" t="n"/>
      <c r="Z464" s="26" t="n"/>
      <c r="AA464" s="26" t="n"/>
      <c r="AB464" s="27" t="n"/>
      <c r="AC464" s="32">
        <f>IF(A464="","",IF(COUNTIF($H$5:$H$1004,H464)&gt;1,"DUPLICATE","UNIQUE"))</f>
        <v/>
      </c>
      <c r="AD464" s="32">
        <f>IF(A464="","",IF(AA464="Rejected",IF(AB464&lt;&gt;"","REJECTED","ADD REASON"),IF(AND(B464&lt;&gt;"",C464&lt;&gt;"",D464&lt;&gt;"",E464&lt;&gt;"",F464&lt;&gt;"",G464&lt;&gt;"",H464&lt;&gt;"",J464&lt;&gt;"",K464&lt;&gt;"",L464&lt;&gt;"",M464&lt;&gt;"",N464&lt;&gt;"",O464&lt;&gt;"",P464&lt;&gt;"",Q464&lt;&gt;"",R464&lt;&gt;"",S464&lt;&gt;"",T464&lt;&gt;"",U464&lt;&gt;"",V464&lt;&gt;"",W464&lt;&gt;"",X464&lt;&gt;"",Y464&lt;&gt;"",AC464="UNIQUE"),"READY","CHECK")))</f>
        <v/>
      </c>
    </row>
    <row r="465">
      <c r="A465" s="25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37" t="n"/>
      <c r="K465" s="34" t="n"/>
      <c r="L465" s="26" t="n"/>
      <c r="M465" s="37" t="n"/>
      <c r="N465" s="37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34" t="n"/>
      <c r="Y465" s="26" t="n"/>
      <c r="Z465" s="26" t="n"/>
      <c r="AA465" s="26" t="n"/>
      <c r="AB465" s="27" t="n"/>
      <c r="AC465" s="32">
        <f>IF(A465="","",IF(COUNTIF($H$5:$H$1004,H465)&gt;1,"DUPLICATE","UNIQUE"))</f>
        <v/>
      </c>
      <c r="AD465" s="32">
        <f>IF(A465="","",IF(AA465="Rejected",IF(AB465&lt;&gt;"","REJECTED","ADD REASON"),IF(AND(B465&lt;&gt;"",C465&lt;&gt;"",D465&lt;&gt;"",E465&lt;&gt;"",F465&lt;&gt;"",G465&lt;&gt;"",H465&lt;&gt;"",J465&lt;&gt;"",K465&lt;&gt;"",L465&lt;&gt;"",M465&lt;&gt;"",N465&lt;&gt;"",O465&lt;&gt;"",P465&lt;&gt;"",Q465&lt;&gt;"",R465&lt;&gt;"",S465&lt;&gt;"",T465&lt;&gt;"",U465&lt;&gt;"",V465&lt;&gt;"",W465&lt;&gt;"",X465&lt;&gt;"",Y465&lt;&gt;"",AC465="UNIQUE"),"READY","CHECK")))</f>
        <v/>
      </c>
    </row>
    <row r="466">
      <c r="A466" s="25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37" t="n"/>
      <c r="K466" s="34" t="n"/>
      <c r="L466" s="26" t="n"/>
      <c r="M466" s="37" t="n"/>
      <c r="N466" s="37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34" t="n"/>
      <c r="Y466" s="26" t="n"/>
      <c r="Z466" s="26" t="n"/>
      <c r="AA466" s="26" t="n"/>
      <c r="AB466" s="27" t="n"/>
      <c r="AC466" s="32">
        <f>IF(A466="","",IF(COUNTIF($H$5:$H$1004,H466)&gt;1,"DUPLICATE","UNIQUE"))</f>
        <v/>
      </c>
      <c r="AD466" s="32">
        <f>IF(A466="","",IF(AA466="Rejected",IF(AB466&lt;&gt;"","REJECTED","ADD REASON"),IF(AND(B466&lt;&gt;"",C466&lt;&gt;"",D466&lt;&gt;"",E466&lt;&gt;"",F466&lt;&gt;"",G466&lt;&gt;"",H466&lt;&gt;"",J466&lt;&gt;"",K466&lt;&gt;"",L466&lt;&gt;"",M466&lt;&gt;"",N466&lt;&gt;"",O466&lt;&gt;"",P466&lt;&gt;"",Q466&lt;&gt;"",R466&lt;&gt;"",S466&lt;&gt;"",T466&lt;&gt;"",U466&lt;&gt;"",V466&lt;&gt;"",W466&lt;&gt;"",X466&lt;&gt;"",Y466&lt;&gt;"",AC466="UNIQUE"),"READY","CHECK")))</f>
        <v/>
      </c>
    </row>
    <row r="467">
      <c r="A467" s="25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37" t="n"/>
      <c r="K467" s="34" t="n"/>
      <c r="L467" s="26" t="n"/>
      <c r="M467" s="37" t="n"/>
      <c r="N467" s="37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34" t="n"/>
      <c r="Y467" s="26" t="n"/>
      <c r="Z467" s="26" t="n"/>
      <c r="AA467" s="26" t="n"/>
      <c r="AB467" s="27" t="n"/>
      <c r="AC467" s="32">
        <f>IF(A467="","",IF(COUNTIF($H$5:$H$1004,H467)&gt;1,"DUPLICATE","UNIQUE"))</f>
        <v/>
      </c>
      <c r="AD467" s="32">
        <f>IF(A467="","",IF(AA467="Rejected",IF(AB467&lt;&gt;"","REJECTED","ADD REASON"),IF(AND(B467&lt;&gt;"",C467&lt;&gt;"",D467&lt;&gt;"",E467&lt;&gt;"",F467&lt;&gt;"",G467&lt;&gt;"",H467&lt;&gt;"",J467&lt;&gt;"",K467&lt;&gt;"",L467&lt;&gt;"",M467&lt;&gt;"",N467&lt;&gt;"",O467&lt;&gt;"",P467&lt;&gt;"",Q467&lt;&gt;"",R467&lt;&gt;"",S467&lt;&gt;"",T467&lt;&gt;"",U467&lt;&gt;"",V467&lt;&gt;"",W467&lt;&gt;"",X467&lt;&gt;"",Y467&lt;&gt;"",AC467="UNIQUE"),"READY","CHECK")))</f>
        <v/>
      </c>
    </row>
    <row r="468">
      <c r="A468" s="25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37" t="n"/>
      <c r="K468" s="34" t="n"/>
      <c r="L468" s="26" t="n"/>
      <c r="M468" s="37" t="n"/>
      <c r="N468" s="37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34" t="n"/>
      <c r="Y468" s="26" t="n"/>
      <c r="Z468" s="26" t="n"/>
      <c r="AA468" s="26" t="n"/>
      <c r="AB468" s="27" t="n"/>
      <c r="AC468" s="32">
        <f>IF(A468="","",IF(COUNTIF($H$5:$H$1004,H468)&gt;1,"DUPLICATE","UNIQUE"))</f>
        <v/>
      </c>
      <c r="AD468" s="32">
        <f>IF(A468="","",IF(AA468="Rejected",IF(AB468&lt;&gt;"","REJECTED","ADD REASON"),IF(AND(B468&lt;&gt;"",C468&lt;&gt;"",D468&lt;&gt;"",E468&lt;&gt;"",F468&lt;&gt;"",G468&lt;&gt;"",H468&lt;&gt;"",J468&lt;&gt;"",K468&lt;&gt;"",L468&lt;&gt;"",M468&lt;&gt;"",N468&lt;&gt;"",O468&lt;&gt;"",P468&lt;&gt;"",Q468&lt;&gt;"",R468&lt;&gt;"",S468&lt;&gt;"",T468&lt;&gt;"",U468&lt;&gt;"",V468&lt;&gt;"",W468&lt;&gt;"",X468&lt;&gt;"",Y468&lt;&gt;"",AC468="UNIQUE"),"READY","CHECK")))</f>
        <v/>
      </c>
    </row>
    <row r="469">
      <c r="A469" s="25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37" t="n"/>
      <c r="K469" s="34" t="n"/>
      <c r="L469" s="26" t="n"/>
      <c r="M469" s="37" t="n"/>
      <c r="N469" s="37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34" t="n"/>
      <c r="Y469" s="26" t="n"/>
      <c r="Z469" s="26" t="n"/>
      <c r="AA469" s="26" t="n"/>
      <c r="AB469" s="27" t="n"/>
      <c r="AC469" s="32">
        <f>IF(A469="","",IF(COUNTIF($H$5:$H$1004,H469)&gt;1,"DUPLICATE","UNIQUE"))</f>
        <v/>
      </c>
      <c r="AD469" s="32">
        <f>IF(A469="","",IF(AA469="Rejected",IF(AB469&lt;&gt;"","REJECTED","ADD REASON"),IF(AND(B469&lt;&gt;"",C469&lt;&gt;"",D469&lt;&gt;"",E469&lt;&gt;"",F469&lt;&gt;"",G469&lt;&gt;"",H469&lt;&gt;"",J469&lt;&gt;"",K469&lt;&gt;"",L469&lt;&gt;"",M469&lt;&gt;"",N469&lt;&gt;"",O469&lt;&gt;"",P469&lt;&gt;"",Q469&lt;&gt;"",R469&lt;&gt;"",S469&lt;&gt;"",T469&lt;&gt;"",U469&lt;&gt;"",V469&lt;&gt;"",W469&lt;&gt;"",X469&lt;&gt;"",Y469&lt;&gt;"",AC469="UNIQUE"),"READY","CHECK")))</f>
        <v/>
      </c>
    </row>
    <row r="470">
      <c r="A470" s="25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37" t="n"/>
      <c r="K470" s="34" t="n"/>
      <c r="L470" s="26" t="n"/>
      <c r="M470" s="37" t="n"/>
      <c r="N470" s="37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34" t="n"/>
      <c r="Y470" s="26" t="n"/>
      <c r="Z470" s="26" t="n"/>
      <c r="AA470" s="26" t="n"/>
      <c r="AB470" s="27" t="n"/>
      <c r="AC470" s="32">
        <f>IF(A470="","",IF(COUNTIF($H$5:$H$1004,H470)&gt;1,"DUPLICATE","UNIQUE"))</f>
        <v/>
      </c>
      <c r="AD470" s="32">
        <f>IF(A470="","",IF(AA470="Rejected",IF(AB470&lt;&gt;"","REJECTED","ADD REASON"),IF(AND(B470&lt;&gt;"",C470&lt;&gt;"",D470&lt;&gt;"",E470&lt;&gt;"",F470&lt;&gt;"",G470&lt;&gt;"",H470&lt;&gt;"",J470&lt;&gt;"",K470&lt;&gt;"",L470&lt;&gt;"",M470&lt;&gt;"",N470&lt;&gt;"",O470&lt;&gt;"",P470&lt;&gt;"",Q470&lt;&gt;"",R470&lt;&gt;"",S470&lt;&gt;"",T470&lt;&gt;"",U470&lt;&gt;"",V470&lt;&gt;"",W470&lt;&gt;"",X470&lt;&gt;"",Y470&lt;&gt;"",AC470="UNIQUE"),"READY","CHECK")))</f>
        <v/>
      </c>
    </row>
    <row r="471">
      <c r="A471" s="25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37" t="n"/>
      <c r="K471" s="34" t="n"/>
      <c r="L471" s="26" t="n"/>
      <c r="M471" s="37" t="n"/>
      <c r="N471" s="37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34" t="n"/>
      <c r="Y471" s="26" t="n"/>
      <c r="Z471" s="26" t="n"/>
      <c r="AA471" s="26" t="n"/>
      <c r="AB471" s="27" t="n"/>
      <c r="AC471" s="32">
        <f>IF(A471="","",IF(COUNTIF($H$5:$H$1004,H471)&gt;1,"DUPLICATE","UNIQUE"))</f>
        <v/>
      </c>
      <c r="AD471" s="32">
        <f>IF(A471="","",IF(AA471="Rejected",IF(AB471&lt;&gt;"","REJECTED","ADD REASON"),IF(AND(B471&lt;&gt;"",C471&lt;&gt;"",D471&lt;&gt;"",E471&lt;&gt;"",F471&lt;&gt;"",G471&lt;&gt;"",H471&lt;&gt;"",J471&lt;&gt;"",K471&lt;&gt;"",L471&lt;&gt;"",M471&lt;&gt;"",N471&lt;&gt;"",O471&lt;&gt;"",P471&lt;&gt;"",Q471&lt;&gt;"",R471&lt;&gt;"",S471&lt;&gt;"",T471&lt;&gt;"",U471&lt;&gt;"",V471&lt;&gt;"",W471&lt;&gt;"",X471&lt;&gt;"",Y471&lt;&gt;"",AC471="UNIQUE"),"READY","CHECK")))</f>
        <v/>
      </c>
    </row>
    <row r="472">
      <c r="A472" s="25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37" t="n"/>
      <c r="K472" s="34" t="n"/>
      <c r="L472" s="26" t="n"/>
      <c r="M472" s="37" t="n"/>
      <c r="N472" s="37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34" t="n"/>
      <c r="Y472" s="26" t="n"/>
      <c r="Z472" s="26" t="n"/>
      <c r="AA472" s="26" t="n"/>
      <c r="AB472" s="27" t="n"/>
      <c r="AC472" s="32">
        <f>IF(A472="","",IF(COUNTIF($H$5:$H$1004,H472)&gt;1,"DUPLICATE","UNIQUE"))</f>
        <v/>
      </c>
      <c r="AD472" s="32">
        <f>IF(A472="","",IF(AA472="Rejected",IF(AB472&lt;&gt;"","REJECTED","ADD REASON"),IF(AND(B472&lt;&gt;"",C472&lt;&gt;"",D472&lt;&gt;"",E472&lt;&gt;"",F472&lt;&gt;"",G472&lt;&gt;"",H472&lt;&gt;"",J472&lt;&gt;"",K472&lt;&gt;"",L472&lt;&gt;"",M472&lt;&gt;"",N472&lt;&gt;"",O472&lt;&gt;"",P472&lt;&gt;"",Q472&lt;&gt;"",R472&lt;&gt;"",S472&lt;&gt;"",T472&lt;&gt;"",U472&lt;&gt;"",V472&lt;&gt;"",W472&lt;&gt;"",X472&lt;&gt;"",Y472&lt;&gt;"",AC472="UNIQUE"),"READY","CHECK")))</f>
        <v/>
      </c>
    </row>
    <row r="473">
      <c r="A473" s="25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37" t="n"/>
      <c r="K473" s="34" t="n"/>
      <c r="L473" s="26" t="n"/>
      <c r="M473" s="37" t="n"/>
      <c r="N473" s="37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34" t="n"/>
      <c r="Y473" s="26" t="n"/>
      <c r="Z473" s="26" t="n"/>
      <c r="AA473" s="26" t="n"/>
      <c r="AB473" s="27" t="n"/>
      <c r="AC473" s="32">
        <f>IF(A473="","",IF(COUNTIF($H$5:$H$1004,H473)&gt;1,"DUPLICATE","UNIQUE"))</f>
        <v/>
      </c>
      <c r="AD473" s="32">
        <f>IF(A473="","",IF(AA473="Rejected",IF(AB473&lt;&gt;"","REJECTED","ADD REASON"),IF(AND(B473&lt;&gt;"",C473&lt;&gt;"",D473&lt;&gt;"",E473&lt;&gt;"",F473&lt;&gt;"",G473&lt;&gt;"",H473&lt;&gt;"",J473&lt;&gt;"",K473&lt;&gt;"",L473&lt;&gt;"",M473&lt;&gt;"",N473&lt;&gt;"",O473&lt;&gt;"",P473&lt;&gt;"",Q473&lt;&gt;"",R473&lt;&gt;"",S473&lt;&gt;"",T473&lt;&gt;"",U473&lt;&gt;"",V473&lt;&gt;"",W473&lt;&gt;"",X473&lt;&gt;"",Y473&lt;&gt;"",AC473="UNIQUE"),"READY","CHECK")))</f>
        <v/>
      </c>
    </row>
    <row r="474">
      <c r="A474" s="25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37" t="n"/>
      <c r="K474" s="34" t="n"/>
      <c r="L474" s="26" t="n"/>
      <c r="M474" s="37" t="n"/>
      <c r="N474" s="37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34" t="n"/>
      <c r="Y474" s="26" t="n"/>
      <c r="Z474" s="26" t="n"/>
      <c r="AA474" s="26" t="n"/>
      <c r="AB474" s="27" t="n"/>
      <c r="AC474" s="32">
        <f>IF(A474="","",IF(COUNTIF($H$5:$H$1004,H474)&gt;1,"DUPLICATE","UNIQUE"))</f>
        <v/>
      </c>
      <c r="AD474" s="32">
        <f>IF(A474="","",IF(AA474="Rejected",IF(AB474&lt;&gt;"","REJECTED","ADD REASON"),IF(AND(B474&lt;&gt;"",C474&lt;&gt;"",D474&lt;&gt;"",E474&lt;&gt;"",F474&lt;&gt;"",G474&lt;&gt;"",H474&lt;&gt;"",J474&lt;&gt;"",K474&lt;&gt;"",L474&lt;&gt;"",M474&lt;&gt;"",N474&lt;&gt;"",O474&lt;&gt;"",P474&lt;&gt;"",Q474&lt;&gt;"",R474&lt;&gt;"",S474&lt;&gt;"",T474&lt;&gt;"",U474&lt;&gt;"",V474&lt;&gt;"",W474&lt;&gt;"",X474&lt;&gt;"",Y474&lt;&gt;"",AC474="UNIQUE"),"READY","CHECK")))</f>
        <v/>
      </c>
    </row>
    <row r="475">
      <c r="A475" s="25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37" t="n"/>
      <c r="K475" s="34" t="n"/>
      <c r="L475" s="26" t="n"/>
      <c r="M475" s="37" t="n"/>
      <c r="N475" s="37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34" t="n"/>
      <c r="Y475" s="26" t="n"/>
      <c r="Z475" s="26" t="n"/>
      <c r="AA475" s="26" t="n"/>
      <c r="AB475" s="27" t="n"/>
      <c r="AC475" s="32">
        <f>IF(A475="","",IF(COUNTIF($H$5:$H$1004,H475)&gt;1,"DUPLICATE","UNIQUE"))</f>
        <v/>
      </c>
      <c r="AD475" s="32">
        <f>IF(A475="","",IF(AA475="Rejected",IF(AB475&lt;&gt;"","REJECTED","ADD REASON"),IF(AND(B475&lt;&gt;"",C475&lt;&gt;"",D475&lt;&gt;"",E475&lt;&gt;"",F475&lt;&gt;"",G475&lt;&gt;"",H475&lt;&gt;"",J475&lt;&gt;"",K475&lt;&gt;"",L475&lt;&gt;"",M475&lt;&gt;"",N475&lt;&gt;"",O475&lt;&gt;"",P475&lt;&gt;"",Q475&lt;&gt;"",R475&lt;&gt;"",S475&lt;&gt;"",T475&lt;&gt;"",U475&lt;&gt;"",V475&lt;&gt;"",W475&lt;&gt;"",X475&lt;&gt;"",Y475&lt;&gt;"",AC475="UNIQUE"),"READY","CHECK")))</f>
        <v/>
      </c>
    </row>
    <row r="476">
      <c r="A476" s="25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37" t="n"/>
      <c r="K476" s="34" t="n"/>
      <c r="L476" s="26" t="n"/>
      <c r="M476" s="37" t="n"/>
      <c r="N476" s="37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34" t="n"/>
      <c r="Y476" s="26" t="n"/>
      <c r="Z476" s="26" t="n"/>
      <c r="AA476" s="26" t="n"/>
      <c r="AB476" s="27" t="n"/>
      <c r="AC476" s="32">
        <f>IF(A476="","",IF(COUNTIF($H$5:$H$1004,H476)&gt;1,"DUPLICATE","UNIQUE"))</f>
        <v/>
      </c>
      <c r="AD476" s="32">
        <f>IF(A476="","",IF(AA476="Rejected",IF(AB476&lt;&gt;"","REJECTED","ADD REASON"),IF(AND(B476&lt;&gt;"",C476&lt;&gt;"",D476&lt;&gt;"",E476&lt;&gt;"",F476&lt;&gt;"",G476&lt;&gt;"",H476&lt;&gt;"",J476&lt;&gt;"",K476&lt;&gt;"",L476&lt;&gt;"",M476&lt;&gt;"",N476&lt;&gt;"",O476&lt;&gt;"",P476&lt;&gt;"",Q476&lt;&gt;"",R476&lt;&gt;"",S476&lt;&gt;"",T476&lt;&gt;"",U476&lt;&gt;"",V476&lt;&gt;"",W476&lt;&gt;"",X476&lt;&gt;"",Y476&lt;&gt;"",AC476="UNIQUE"),"READY","CHECK")))</f>
        <v/>
      </c>
    </row>
    <row r="477">
      <c r="A477" s="25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37" t="n"/>
      <c r="K477" s="34" t="n"/>
      <c r="L477" s="26" t="n"/>
      <c r="M477" s="37" t="n"/>
      <c r="N477" s="37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34" t="n"/>
      <c r="Y477" s="26" t="n"/>
      <c r="Z477" s="26" t="n"/>
      <c r="AA477" s="26" t="n"/>
      <c r="AB477" s="27" t="n"/>
      <c r="AC477" s="32">
        <f>IF(A477="","",IF(COUNTIF($H$5:$H$1004,H477)&gt;1,"DUPLICATE","UNIQUE"))</f>
        <v/>
      </c>
      <c r="AD477" s="32">
        <f>IF(A477="","",IF(AA477="Rejected",IF(AB477&lt;&gt;"","REJECTED","ADD REASON"),IF(AND(B477&lt;&gt;"",C477&lt;&gt;"",D477&lt;&gt;"",E477&lt;&gt;"",F477&lt;&gt;"",G477&lt;&gt;"",H477&lt;&gt;"",J477&lt;&gt;"",K477&lt;&gt;"",L477&lt;&gt;"",M477&lt;&gt;"",N477&lt;&gt;"",O477&lt;&gt;"",P477&lt;&gt;"",Q477&lt;&gt;"",R477&lt;&gt;"",S477&lt;&gt;"",T477&lt;&gt;"",U477&lt;&gt;"",V477&lt;&gt;"",W477&lt;&gt;"",X477&lt;&gt;"",Y477&lt;&gt;"",AC477="UNIQUE"),"READY","CHECK")))</f>
        <v/>
      </c>
    </row>
    <row r="478">
      <c r="A478" s="25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37" t="n"/>
      <c r="K478" s="34" t="n"/>
      <c r="L478" s="26" t="n"/>
      <c r="M478" s="37" t="n"/>
      <c r="N478" s="37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34" t="n"/>
      <c r="Y478" s="26" t="n"/>
      <c r="Z478" s="26" t="n"/>
      <c r="AA478" s="26" t="n"/>
      <c r="AB478" s="27" t="n"/>
      <c r="AC478" s="32">
        <f>IF(A478="","",IF(COUNTIF($H$5:$H$1004,H478)&gt;1,"DUPLICATE","UNIQUE"))</f>
        <v/>
      </c>
      <c r="AD478" s="32">
        <f>IF(A478="","",IF(AA478="Rejected",IF(AB478&lt;&gt;"","REJECTED","ADD REASON"),IF(AND(B478&lt;&gt;"",C478&lt;&gt;"",D478&lt;&gt;"",E478&lt;&gt;"",F478&lt;&gt;"",G478&lt;&gt;"",H478&lt;&gt;"",J478&lt;&gt;"",K478&lt;&gt;"",L478&lt;&gt;"",M478&lt;&gt;"",N478&lt;&gt;"",O478&lt;&gt;"",P478&lt;&gt;"",Q478&lt;&gt;"",R478&lt;&gt;"",S478&lt;&gt;"",T478&lt;&gt;"",U478&lt;&gt;"",V478&lt;&gt;"",W478&lt;&gt;"",X478&lt;&gt;"",Y478&lt;&gt;"",AC478="UNIQUE"),"READY","CHECK")))</f>
        <v/>
      </c>
    </row>
    <row r="479">
      <c r="A479" s="25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37" t="n"/>
      <c r="K479" s="34" t="n"/>
      <c r="L479" s="26" t="n"/>
      <c r="M479" s="37" t="n"/>
      <c r="N479" s="37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34" t="n"/>
      <c r="Y479" s="26" t="n"/>
      <c r="Z479" s="26" t="n"/>
      <c r="AA479" s="26" t="n"/>
      <c r="AB479" s="27" t="n"/>
      <c r="AC479" s="32">
        <f>IF(A479="","",IF(COUNTIF($H$5:$H$1004,H479)&gt;1,"DUPLICATE","UNIQUE"))</f>
        <v/>
      </c>
      <c r="AD479" s="32">
        <f>IF(A479="","",IF(AA479="Rejected",IF(AB479&lt;&gt;"","REJECTED","ADD REASON"),IF(AND(B479&lt;&gt;"",C479&lt;&gt;"",D479&lt;&gt;"",E479&lt;&gt;"",F479&lt;&gt;"",G479&lt;&gt;"",H479&lt;&gt;"",J479&lt;&gt;"",K479&lt;&gt;"",L479&lt;&gt;"",M479&lt;&gt;"",N479&lt;&gt;"",O479&lt;&gt;"",P479&lt;&gt;"",Q479&lt;&gt;"",R479&lt;&gt;"",S479&lt;&gt;"",T479&lt;&gt;"",U479&lt;&gt;"",V479&lt;&gt;"",W479&lt;&gt;"",X479&lt;&gt;"",Y479&lt;&gt;"",AC479="UNIQUE"),"READY","CHECK")))</f>
        <v/>
      </c>
    </row>
    <row r="480">
      <c r="A480" s="25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37" t="n"/>
      <c r="K480" s="34" t="n"/>
      <c r="L480" s="26" t="n"/>
      <c r="M480" s="37" t="n"/>
      <c r="N480" s="37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34" t="n"/>
      <c r="Y480" s="26" t="n"/>
      <c r="Z480" s="26" t="n"/>
      <c r="AA480" s="26" t="n"/>
      <c r="AB480" s="27" t="n"/>
      <c r="AC480" s="32">
        <f>IF(A480="","",IF(COUNTIF($H$5:$H$1004,H480)&gt;1,"DUPLICATE","UNIQUE"))</f>
        <v/>
      </c>
      <c r="AD480" s="32">
        <f>IF(A480="","",IF(AA480="Rejected",IF(AB480&lt;&gt;"","REJECTED","ADD REASON"),IF(AND(B480&lt;&gt;"",C480&lt;&gt;"",D480&lt;&gt;"",E480&lt;&gt;"",F480&lt;&gt;"",G480&lt;&gt;"",H480&lt;&gt;"",J480&lt;&gt;"",K480&lt;&gt;"",L480&lt;&gt;"",M480&lt;&gt;"",N480&lt;&gt;"",O480&lt;&gt;"",P480&lt;&gt;"",Q480&lt;&gt;"",R480&lt;&gt;"",S480&lt;&gt;"",T480&lt;&gt;"",U480&lt;&gt;"",V480&lt;&gt;"",W480&lt;&gt;"",X480&lt;&gt;"",Y480&lt;&gt;"",AC480="UNIQUE"),"READY","CHECK")))</f>
        <v/>
      </c>
    </row>
    <row r="481">
      <c r="A481" s="25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37" t="n"/>
      <c r="K481" s="34" t="n"/>
      <c r="L481" s="26" t="n"/>
      <c r="M481" s="37" t="n"/>
      <c r="N481" s="37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34" t="n"/>
      <c r="Y481" s="26" t="n"/>
      <c r="Z481" s="26" t="n"/>
      <c r="AA481" s="26" t="n"/>
      <c r="AB481" s="27" t="n"/>
      <c r="AC481" s="32">
        <f>IF(A481="","",IF(COUNTIF($H$5:$H$1004,H481)&gt;1,"DUPLICATE","UNIQUE"))</f>
        <v/>
      </c>
      <c r="AD481" s="32">
        <f>IF(A481="","",IF(AA481="Rejected",IF(AB481&lt;&gt;"","REJECTED","ADD REASON"),IF(AND(B481&lt;&gt;"",C481&lt;&gt;"",D481&lt;&gt;"",E481&lt;&gt;"",F481&lt;&gt;"",G481&lt;&gt;"",H481&lt;&gt;"",J481&lt;&gt;"",K481&lt;&gt;"",L481&lt;&gt;"",M481&lt;&gt;"",N481&lt;&gt;"",O481&lt;&gt;"",P481&lt;&gt;"",Q481&lt;&gt;"",R481&lt;&gt;"",S481&lt;&gt;"",T481&lt;&gt;"",U481&lt;&gt;"",V481&lt;&gt;"",W481&lt;&gt;"",X481&lt;&gt;"",Y481&lt;&gt;"",AC481="UNIQUE"),"READY","CHECK")))</f>
        <v/>
      </c>
    </row>
    <row r="482">
      <c r="A482" s="25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37" t="n"/>
      <c r="K482" s="34" t="n"/>
      <c r="L482" s="26" t="n"/>
      <c r="M482" s="37" t="n"/>
      <c r="N482" s="37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34" t="n"/>
      <c r="Y482" s="26" t="n"/>
      <c r="Z482" s="26" t="n"/>
      <c r="AA482" s="26" t="n"/>
      <c r="AB482" s="27" t="n"/>
      <c r="AC482" s="32">
        <f>IF(A482="","",IF(COUNTIF($H$5:$H$1004,H482)&gt;1,"DUPLICATE","UNIQUE"))</f>
        <v/>
      </c>
      <c r="AD482" s="32">
        <f>IF(A482="","",IF(AA482="Rejected",IF(AB482&lt;&gt;"","REJECTED","ADD REASON"),IF(AND(B482&lt;&gt;"",C482&lt;&gt;"",D482&lt;&gt;"",E482&lt;&gt;"",F482&lt;&gt;"",G482&lt;&gt;"",H482&lt;&gt;"",J482&lt;&gt;"",K482&lt;&gt;"",L482&lt;&gt;"",M482&lt;&gt;"",N482&lt;&gt;"",O482&lt;&gt;"",P482&lt;&gt;"",Q482&lt;&gt;"",R482&lt;&gt;"",S482&lt;&gt;"",T482&lt;&gt;"",U482&lt;&gt;"",V482&lt;&gt;"",W482&lt;&gt;"",X482&lt;&gt;"",Y482&lt;&gt;"",AC482="UNIQUE"),"READY","CHECK")))</f>
        <v/>
      </c>
    </row>
    <row r="483">
      <c r="A483" s="25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37" t="n"/>
      <c r="K483" s="34" t="n"/>
      <c r="L483" s="26" t="n"/>
      <c r="M483" s="37" t="n"/>
      <c r="N483" s="37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34" t="n"/>
      <c r="Y483" s="26" t="n"/>
      <c r="Z483" s="26" t="n"/>
      <c r="AA483" s="26" t="n"/>
      <c r="AB483" s="27" t="n"/>
      <c r="AC483" s="32">
        <f>IF(A483="","",IF(COUNTIF($H$5:$H$1004,H483)&gt;1,"DUPLICATE","UNIQUE"))</f>
        <v/>
      </c>
      <c r="AD483" s="32">
        <f>IF(A483="","",IF(AA483="Rejected",IF(AB483&lt;&gt;"","REJECTED","ADD REASON"),IF(AND(B483&lt;&gt;"",C483&lt;&gt;"",D483&lt;&gt;"",E483&lt;&gt;"",F483&lt;&gt;"",G483&lt;&gt;"",H483&lt;&gt;"",J483&lt;&gt;"",K483&lt;&gt;"",L483&lt;&gt;"",M483&lt;&gt;"",N483&lt;&gt;"",O483&lt;&gt;"",P483&lt;&gt;"",Q483&lt;&gt;"",R483&lt;&gt;"",S483&lt;&gt;"",T483&lt;&gt;"",U483&lt;&gt;"",V483&lt;&gt;"",W483&lt;&gt;"",X483&lt;&gt;"",Y483&lt;&gt;"",AC483="UNIQUE"),"READY","CHECK")))</f>
        <v/>
      </c>
    </row>
    <row r="484">
      <c r="A484" s="25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37" t="n"/>
      <c r="K484" s="34" t="n"/>
      <c r="L484" s="26" t="n"/>
      <c r="M484" s="37" t="n"/>
      <c r="N484" s="37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34" t="n"/>
      <c r="Y484" s="26" t="n"/>
      <c r="Z484" s="26" t="n"/>
      <c r="AA484" s="26" t="n"/>
      <c r="AB484" s="27" t="n"/>
      <c r="AC484" s="32">
        <f>IF(A484="","",IF(COUNTIF($H$5:$H$1004,H484)&gt;1,"DUPLICATE","UNIQUE"))</f>
        <v/>
      </c>
      <c r="AD484" s="32">
        <f>IF(A484="","",IF(AA484="Rejected",IF(AB484&lt;&gt;"","REJECTED","ADD REASON"),IF(AND(B484&lt;&gt;"",C484&lt;&gt;"",D484&lt;&gt;"",E484&lt;&gt;"",F484&lt;&gt;"",G484&lt;&gt;"",H484&lt;&gt;"",J484&lt;&gt;"",K484&lt;&gt;"",L484&lt;&gt;"",M484&lt;&gt;"",N484&lt;&gt;"",O484&lt;&gt;"",P484&lt;&gt;"",Q484&lt;&gt;"",R484&lt;&gt;"",S484&lt;&gt;"",T484&lt;&gt;"",U484&lt;&gt;"",V484&lt;&gt;"",W484&lt;&gt;"",X484&lt;&gt;"",Y484&lt;&gt;"",AC484="UNIQUE"),"READY","CHECK")))</f>
        <v/>
      </c>
    </row>
    <row r="485">
      <c r="A485" s="25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37" t="n"/>
      <c r="K485" s="34" t="n"/>
      <c r="L485" s="26" t="n"/>
      <c r="M485" s="37" t="n"/>
      <c r="N485" s="37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34" t="n"/>
      <c r="Y485" s="26" t="n"/>
      <c r="Z485" s="26" t="n"/>
      <c r="AA485" s="26" t="n"/>
      <c r="AB485" s="27" t="n"/>
      <c r="AC485" s="32">
        <f>IF(A485="","",IF(COUNTIF($H$5:$H$1004,H485)&gt;1,"DUPLICATE","UNIQUE"))</f>
        <v/>
      </c>
      <c r="AD485" s="32">
        <f>IF(A485="","",IF(AA485="Rejected",IF(AB485&lt;&gt;"","REJECTED","ADD REASON"),IF(AND(B485&lt;&gt;"",C485&lt;&gt;"",D485&lt;&gt;"",E485&lt;&gt;"",F485&lt;&gt;"",G485&lt;&gt;"",H485&lt;&gt;"",J485&lt;&gt;"",K485&lt;&gt;"",L485&lt;&gt;"",M485&lt;&gt;"",N485&lt;&gt;"",O485&lt;&gt;"",P485&lt;&gt;"",Q485&lt;&gt;"",R485&lt;&gt;"",S485&lt;&gt;"",T485&lt;&gt;"",U485&lt;&gt;"",V485&lt;&gt;"",W485&lt;&gt;"",X485&lt;&gt;"",Y485&lt;&gt;"",AC485="UNIQUE"),"READY","CHECK")))</f>
        <v/>
      </c>
    </row>
    <row r="486">
      <c r="A486" s="25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37" t="n"/>
      <c r="K486" s="34" t="n"/>
      <c r="L486" s="26" t="n"/>
      <c r="M486" s="37" t="n"/>
      <c r="N486" s="37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34" t="n"/>
      <c r="Y486" s="26" t="n"/>
      <c r="Z486" s="26" t="n"/>
      <c r="AA486" s="26" t="n"/>
      <c r="AB486" s="27" t="n"/>
      <c r="AC486" s="32">
        <f>IF(A486="","",IF(COUNTIF($H$5:$H$1004,H486)&gt;1,"DUPLICATE","UNIQUE"))</f>
        <v/>
      </c>
      <c r="AD486" s="32">
        <f>IF(A486="","",IF(AA486="Rejected",IF(AB486&lt;&gt;"","REJECTED","ADD REASON"),IF(AND(B486&lt;&gt;"",C486&lt;&gt;"",D486&lt;&gt;"",E486&lt;&gt;"",F486&lt;&gt;"",G486&lt;&gt;"",H486&lt;&gt;"",J486&lt;&gt;"",K486&lt;&gt;"",L486&lt;&gt;"",M486&lt;&gt;"",N486&lt;&gt;"",O486&lt;&gt;"",P486&lt;&gt;"",Q486&lt;&gt;"",R486&lt;&gt;"",S486&lt;&gt;"",T486&lt;&gt;"",U486&lt;&gt;"",V486&lt;&gt;"",W486&lt;&gt;"",X486&lt;&gt;"",Y486&lt;&gt;"",AC486="UNIQUE"),"READY","CHECK")))</f>
        <v/>
      </c>
    </row>
    <row r="487">
      <c r="A487" s="25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37" t="n"/>
      <c r="K487" s="34" t="n"/>
      <c r="L487" s="26" t="n"/>
      <c r="M487" s="37" t="n"/>
      <c r="N487" s="37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34" t="n"/>
      <c r="Y487" s="26" t="n"/>
      <c r="Z487" s="26" t="n"/>
      <c r="AA487" s="26" t="n"/>
      <c r="AB487" s="27" t="n"/>
      <c r="AC487" s="32">
        <f>IF(A487="","",IF(COUNTIF($H$5:$H$1004,H487)&gt;1,"DUPLICATE","UNIQUE"))</f>
        <v/>
      </c>
      <c r="AD487" s="32">
        <f>IF(A487="","",IF(AA487="Rejected",IF(AB487&lt;&gt;"","REJECTED","ADD REASON"),IF(AND(B487&lt;&gt;"",C487&lt;&gt;"",D487&lt;&gt;"",E487&lt;&gt;"",F487&lt;&gt;"",G487&lt;&gt;"",H487&lt;&gt;"",J487&lt;&gt;"",K487&lt;&gt;"",L487&lt;&gt;"",M487&lt;&gt;"",N487&lt;&gt;"",O487&lt;&gt;"",P487&lt;&gt;"",Q487&lt;&gt;"",R487&lt;&gt;"",S487&lt;&gt;"",T487&lt;&gt;"",U487&lt;&gt;"",V487&lt;&gt;"",W487&lt;&gt;"",X487&lt;&gt;"",Y487&lt;&gt;"",AC487="UNIQUE"),"READY","CHECK")))</f>
        <v/>
      </c>
    </row>
    <row r="488">
      <c r="A488" s="25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37" t="n"/>
      <c r="K488" s="34" t="n"/>
      <c r="L488" s="26" t="n"/>
      <c r="M488" s="37" t="n"/>
      <c r="N488" s="37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34" t="n"/>
      <c r="Y488" s="26" t="n"/>
      <c r="Z488" s="26" t="n"/>
      <c r="AA488" s="26" t="n"/>
      <c r="AB488" s="27" t="n"/>
      <c r="AC488" s="32">
        <f>IF(A488="","",IF(COUNTIF($H$5:$H$1004,H488)&gt;1,"DUPLICATE","UNIQUE"))</f>
        <v/>
      </c>
      <c r="AD488" s="32">
        <f>IF(A488="","",IF(AA488="Rejected",IF(AB488&lt;&gt;"","REJECTED","ADD REASON"),IF(AND(B488&lt;&gt;"",C488&lt;&gt;"",D488&lt;&gt;"",E488&lt;&gt;"",F488&lt;&gt;"",G488&lt;&gt;"",H488&lt;&gt;"",J488&lt;&gt;"",K488&lt;&gt;"",L488&lt;&gt;"",M488&lt;&gt;"",N488&lt;&gt;"",O488&lt;&gt;"",P488&lt;&gt;"",Q488&lt;&gt;"",R488&lt;&gt;"",S488&lt;&gt;"",T488&lt;&gt;"",U488&lt;&gt;"",V488&lt;&gt;"",W488&lt;&gt;"",X488&lt;&gt;"",Y488&lt;&gt;"",AC488="UNIQUE"),"READY","CHECK")))</f>
        <v/>
      </c>
    </row>
    <row r="489">
      <c r="A489" s="25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37" t="n"/>
      <c r="K489" s="34" t="n"/>
      <c r="L489" s="26" t="n"/>
      <c r="M489" s="37" t="n"/>
      <c r="N489" s="37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34" t="n"/>
      <c r="Y489" s="26" t="n"/>
      <c r="Z489" s="26" t="n"/>
      <c r="AA489" s="26" t="n"/>
      <c r="AB489" s="27" t="n"/>
      <c r="AC489" s="32">
        <f>IF(A489="","",IF(COUNTIF($H$5:$H$1004,H489)&gt;1,"DUPLICATE","UNIQUE"))</f>
        <v/>
      </c>
      <c r="AD489" s="32">
        <f>IF(A489="","",IF(AA489="Rejected",IF(AB489&lt;&gt;"","REJECTED","ADD REASON"),IF(AND(B489&lt;&gt;"",C489&lt;&gt;"",D489&lt;&gt;"",E489&lt;&gt;"",F489&lt;&gt;"",G489&lt;&gt;"",H489&lt;&gt;"",J489&lt;&gt;"",K489&lt;&gt;"",L489&lt;&gt;"",M489&lt;&gt;"",N489&lt;&gt;"",O489&lt;&gt;"",P489&lt;&gt;"",Q489&lt;&gt;"",R489&lt;&gt;"",S489&lt;&gt;"",T489&lt;&gt;"",U489&lt;&gt;"",V489&lt;&gt;"",W489&lt;&gt;"",X489&lt;&gt;"",Y489&lt;&gt;"",AC489="UNIQUE"),"READY","CHECK")))</f>
        <v/>
      </c>
    </row>
    <row r="490">
      <c r="A490" s="25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37" t="n"/>
      <c r="K490" s="34" t="n"/>
      <c r="L490" s="26" t="n"/>
      <c r="M490" s="37" t="n"/>
      <c r="N490" s="37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34" t="n"/>
      <c r="Y490" s="26" t="n"/>
      <c r="Z490" s="26" t="n"/>
      <c r="AA490" s="26" t="n"/>
      <c r="AB490" s="27" t="n"/>
      <c r="AC490" s="32">
        <f>IF(A490="","",IF(COUNTIF($H$5:$H$1004,H490)&gt;1,"DUPLICATE","UNIQUE"))</f>
        <v/>
      </c>
      <c r="AD490" s="32">
        <f>IF(A490="","",IF(AA490="Rejected",IF(AB490&lt;&gt;"","REJECTED","ADD REASON"),IF(AND(B490&lt;&gt;"",C490&lt;&gt;"",D490&lt;&gt;"",E490&lt;&gt;"",F490&lt;&gt;"",G490&lt;&gt;"",H490&lt;&gt;"",J490&lt;&gt;"",K490&lt;&gt;"",L490&lt;&gt;"",M490&lt;&gt;"",N490&lt;&gt;"",O490&lt;&gt;"",P490&lt;&gt;"",Q490&lt;&gt;"",R490&lt;&gt;"",S490&lt;&gt;"",T490&lt;&gt;"",U490&lt;&gt;"",V490&lt;&gt;"",W490&lt;&gt;"",X490&lt;&gt;"",Y490&lt;&gt;"",AC490="UNIQUE"),"READY","CHECK")))</f>
        <v/>
      </c>
    </row>
    <row r="491">
      <c r="A491" s="25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37" t="n"/>
      <c r="K491" s="34" t="n"/>
      <c r="L491" s="26" t="n"/>
      <c r="M491" s="37" t="n"/>
      <c r="N491" s="37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34" t="n"/>
      <c r="Y491" s="26" t="n"/>
      <c r="Z491" s="26" t="n"/>
      <c r="AA491" s="26" t="n"/>
      <c r="AB491" s="27" t="n"/>
      <c r="AC491" s="32">
        <f>IF(A491="","",IF(COUNTIF($H$5:$H$1004,H491)&gt;1,"DUPLICATE","UNIQUE"))</f>
        <v/>
      </c>
      <c r="AD491" s="32">
        <f>IF(A491="","",IF(AA491="Rejected",IF(AB491&lt;&gt;"","REJECTED","ADD REASON"),IF(AND(B491&lt;&gt;"",C491&lt;&gt;"",D491&lt;&gt;"",E491&lt;&gt;"",F491&lt;&gt;"",G491&lt;&gt;"",H491&lt;&gt;"",J491&lt;&gt;"",K491&lt;&gt;"",L491&lt;&gt;"",M491&lt;&gt;"",N491&lt;&gt;"",O491&lt;&gt;"",P491&lt;&gt;"",Q491&lt;&gt;"",R491&lt;&gt;"",S491&lt;&gt;"",T491&lt;&gt;"",U491&lt;&gt;"",V491&lt;&gt;"",W491&lt;&gt;"",X491&lt;&gt;"",Y491&lt;&gt;"",AC491="UNIQUE"),"READY","CHECK")))</f>
        <v/>
      </c>
    </row>
    <row r="492">
      <c r="A492" s="25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37" t="n"/>
      <c r="K492" s="34" t="n"/>
      <c r="L492" s="26" t="n"/>
      <c r="M492" s="37" t="n"/>
      <c r="N492" s="37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34" t="n"/>
      <c r="Y492" s="26" t="n"/>
      <c r="Z492" s="26" t="n"/>
      <c r="AA492" s="26" t="n"/>
      <c r="AB492" s="27" t="n"/>
      <c r="AC492" s="32">
        <f>IF(A492="","",IF(COUNTIF($H$5:$H$1004,H492)&gt;1,"DUPLICATE","UNIQUE"))</f>
        <v/>
      </c>
      <c r="AD492" s="32">
        <f>IF(A492="","",IF(AA492="Rejected",IF(AB492&lt;&gt;"","REJECTED","ADD REASON"),IF(AND(B492&lt;&gt;"",C492&lt;&gt;"",D492&lt;&gt;"",E492&lt;&gt;"",F492&lt;&gt;"",G492&lt;&gt;"",H492&lt;&gt;"",J492&lt;&gt;"",K492&lt;&gt;"",L492&lt;&gt;"",M492&lt;&gt;"",N492&lt;&gt;"",O492&lt;&gt;"",P492&lt;&gt;"",Q492&lt;&gt;"",R492&lt;&gt;"",S492&lt;&gt;"",T492&lt;&gt;"",U492&lt;&gt;"",V492&lt;&gt;"",W492&lt;&gt;"",X492&lt;&gt;"",Y492&lt;&gt;"",AC492="UNIQUE"),"READY","CHECK")))</f>
        <v/>
      </c>
    </row>
    <row r="493">
      <c r="A493" s="25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37" t="n"/>
      <c r="K493" s="34" t="n"/>
      <c r="L493" s="26" t="n"/>
      <c r="M493" s="37" t="n"/>
      <c r="N493" s="37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34" t="n"/>
      <c r="Y493" s="26" t="n"/>
      <c r="Z493" s="26" t="n"/>
      <c r="AA493" s="26" t="n"/>
      <c r="AB493" s="27" t="n"/>
      <c r="AC493" s="32">
        <f>IF(A493="","",IF(COUNTIF($H$5:$H$1004,H493)&gt;1,"DUPLICATE","UNIQUE"))</f>
        <v/>
      </c>
      <c r="AD493" s="32">
        <f>IF(A493="","",IF(AA493="Rejected",IF(AB493&lt;&gt;"","REJECTED","ADD REASON"),IF(AND(B493&lt;&gt;"",C493&lt;&gt;"",D493&lt;&gt;"",E493&lt;&gt;"",F493&lt;&gt;"",G493&lt;&gt;"",H493&lt;&gt;"",J493&lt;&gt;"",K493&lt;&gt;"",L493&lt;&gt;"",M493&lt;&gt;"",N493&lt;&gt;"",O493&lt;&gt;"",P493&lt;&gt;"",Q493&lt;&gt;"",R493&lt;&gt;"",S493&lt;&gt;"",T493&lt;&gt;"",U493&lt;&gt;"",V493&lt;&gt;"",W493&lt;&gt;"",X493&lt;&gt;"",Y493&lt;&gt;"",AC493="UNIQUE"),"READY","CHECK")))</f>
        <v/>
      </c>
    </row>
    <row r="494">
      <c r="A494" s="25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37" t="n"/>
      <c r="K494" s="34" t="n"/>
      <c r="L494" s="26" t="n"/>
      <c r="M494" s="37" t="n"/>
      <c r="N494" s="37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34" t="n"/>
      <c r="Y494" s="26" t="n"/>
      <c r="Z494" s="26" t="n"/>
      <c r="AA494" s="26" t="n"/>
      <c r="AB494" s="27" t="n"/>
      <c r="AC494" s="32">
        <f>IF(A494="","",IF(COUNTIF($H$5:$H$1004,H494)&gt;1,"DUPLICATE","UNIQUE"))</f>
        <v/>
      </c>
      <c r="AD494" s="32">
        <f>IF(A494="","",IF(AA494="Rejected",IF(AB494&lt;&gt;"","REJECTED","ADD REASON"),IF(AND(B494&lt;&gt;"",C494&lt;&gt;"",D494&lt;&gt;"",E494&lt;&gt;"",F494&lt;&gt;"",G494&lt;&gt;"",H494&lt;&gt;"",J494&lt;&gt;"",K494&lt;&gt;"",L494&lt;&gt;"",M494&lt;&gt;"",N494&lt;&gt;"",O494&lt;&gt;"",P494&lt;&gt;"",Q494&lt;&gt;"",R494&lt;&gt;"",S494&lt;&gt;"",T494&lt;&gt;"",U494&lt;&gt;"",V494&lt;&gt;"",W494&lt;&gt;"",X494&lt;&gt;"",Y494&lt;&gt;"",AC494="UNIQUE"),"READY","CHECK")))</f>
        <v/>
      </c>
    </row>
    <row r="495">
      <c r="A495" s="25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37" t="n"/>
      <c r="K495" s="34" t="n"/>
      <c r="L495" s="26" t="n"/>
      <c r="M495" s="37" t="n"/>
      <c r="N495" s="37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34" t="n"/>
      <c r="Y495" s="26" t="n"/>
      <c r="Z495" s="26" t="n"/>
      <c r="AA495" s="26" t="n"/>
      <c r="AB495" s="27" t="n"/>
      <c r="AC495" s="32">
        <f>IF(A495="","",IF(COUNTIF($H$5:$H$1004,H495)&gt;1,"DUPLICATE","UNIQUE"))</f>
        <v/>
      </c>
      <c r="AD495" s="32">
        <f>IF(A495="","",IF(AA495="Rejected",IF(AB495&lt;&gt;"","REJECTED","ADD REASON"),IF(AND(B495&lt;&gt;"",C495&lt;&gt;"",D495&lt;&gt;"",E495&lt;&gt;"",F495&lt;&gt;"",G495&lt;&gt;"",H495&lt;&gt;"",J495&lt;&gt;"",K495&lt;&gt;"",L495&lt;&gt;"",M495&lt;&gt;"",N495&lt;&gt;"",O495&lt;&gt;"",P495&lt;&gt;"",Q495&lt;&gt;"",R495&lt;&gt;"",S495&lt;&gt;"",T495&lt;&gt;"",U495&lt;&gt;"",V495&lt;&gt;"",W495&lt;&gt;"",X495&lt;&gt;"",Y495&lt;&gt;"",AC495="UNIQUE"),"READY","CHECK")))</f>
        <v/>
      </c>
    </row>
    <row r="496">
      <c r="A496" s="25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37" t="n"/>
      <c r="K496" s="34" t="n"/>
      <c r="L496" s="26" t="n"/>
      <c r="M496" s="37" t="n"/>
      <c r="N496" s="37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34" t="n"/>
      <c r="Y496" s="26" t="n"/>
      <c r="Z496" s="26" t="n"/>
      <c r="AA496" s="26" t="n"/>
      <c r="AB496" s="27" t="n"/>
      <c r="AC496" s="32">
        <f>IF(A496="","",IF(COUNTIF($H$5:$H$1004,H496)&gt;1,"DUPLICATE","UNIQUE"))</f>
        <v/>
      </c>
      <c r="AD496" s="32">
        <f>IF(A496="","",IF(AA496="Rejected",IF(AB496&lt;&gt;"","REJECTED","ADD REASON"),IF(AND(B496&lt;&gt;"",C496&lt;&gt;"",D496&lt;&gt;"",E496&lt;&gt;"",F496&lt;&gt;"",G496&lt;&gt;"",H496&lt;&gt;"",J496&lt;&gt;"",K496&lt;&gt;"",L496&lt;&gt;"",M496&lt;&gt;"",N496&lt;&gt;"",O496&lt;&gt;"",P496&lt;&gt;"",Q496&lt;&gt;"",R496&lt;&gt;"",S496&lt;&gt;"",T496&lt;&gt;"",U496&lt;&gt;"",V496&lt;&gt;"",W496&lt;&gt;"",X496&lt;&gt;"",Y496&lt;&gt;"",AC496="UNIQUE"),"READY","CHECK")))</f>
        <v/>
      </c>
    </row>
    <row r="497">
      <c r="A497" s="25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37" t="n"/>
      <c r="K497" s="34" t="n"/>
      <c r="L497" s="26" t="n"/>
      <c r="M497" s="37" t="n"/>
      <c r="N497" s="37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34" t="n"/>
      <c r="Y497" s="26" t="n"/>
      <c r="Z497" s="26" t="n"/>
      <c r="AA497" s="26" t="n"/>
      <c r="AB497" s="27" t="n"/>
      <c r="AC497" s="32">
        <f>IF(A497="","",IF(COUNTIF($H$5:$H$1004,H497)&gt;1,"DUPLICATE","UNIQUE"))</f>
        <v/>
      </c>
      <c r="AD497" s="32">
        <f>IF(A497="","",IF(AA497="Rejected",IF(AB497&lt;&gt;"","REJECTED","ADD REASON"),IF(AND(B497&lt;&gt;"",C497&lt;&gt;"",D497&lt;&gt;"",E497&lt;&gt;"",F497&lt;&gt;"",G497&lt;&gt;"",H497&lt;&gt;"",J497&lt;&gt;"",K497&lt;&gt;"",L497&lt;&gt;"",M497&lt;&gt;"",N497&lt;&gt;"",O497&lt;&gt;"",P497&lt;&gt;"",Q497&lt;&gt;"",R497&lt;&gt;"",S497&lt;&gt;"",T497&lt;&gt;"",U497&lt;&gt;"",V497&lt;&gt;"",W497&lt;&gt;"",X497&lt;&gt;"",Y497&lt;&gt;"",AC497="UNIQUE"),"READY","CHECK")))</f>
        <v/>
      </c>
    </row>
    <row r="498">
      <c r="A498" s="25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37" t="n"/>
      <c r="K498" s="34" t="n"/>
      <c r="L498" s="26" t="n"/>
      <c r="M498" s="37" t="n"/>
      <c r="N498" s="37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34" t="n"/>
      <c r="Y498" s="26" t="n"/>
      <c r="Z498" s="26" t="n"/>
      <c r="AA498" s="26" t="n"/>
      <c r="AB498" s="27" t="n"/>
      <c r="AC498" s="32">
        <f>IF(A498="","",IF(COUNTIF($H$5:$H$1004,H498)&gt;1,"DUPLICATE","UNIQUE"))</f>
        <v/>
      </c>
      <c r="AD498" s="32">
        <f>IF(A498="","",IF(AA498="Rejected",IF(AB498&lt;&gt;"","REJECTED","ADD REASON"),IF(AND(B498&lt;&gt;"",C498&lt;&gt;"",D498&lt;&gt;"",E498&lt;&gt;"",F498&lt;&gt;"",G498&lt;&gt;"",H498&lt;&gt;"",J498&lt;&gt;"",K498&lt;&gt;"",L498&lt;&gt;"",M498&lt;&gt;"",N498&lt;&gt;"",O498&lt;&gt;"",P498&lt;&gt;"",Q498&lt;&gt;"",R498&lt;&gt;"",S498&lt;&gt;"",T498&lt;&gt;"",U498&lt;&gt;"",V498&lt;&gt;"",W498&lt;&gt;"",X498&lt;&gt;"",Y498&lt;&gt;"",AC498="UNIQUE"),"READY","CHECK")))</f>
        <v/>
      </c>
    </row>
    <row r="499">
      <c r="A499" s="25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37" t="n"/>
      <c r="K499" s="34" t="n"/>
      <c r="L499" s="26" t="n"/>
      <c r="M499" s="37" t="n"/>
      <c r="N499" s="37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34" t="n"/>
      <c r="Y499" s="26" t="n"/>
      <c r="Z499" s="26" t="n"/>
      <c r="AA499" s="26" t="n"/>
      <c r="AB499" s="27" t="n"/>
      <c r="AC499" s="32">
        <f>IF(A499="","",IF(COUNTIF($H$5:$H$1004,H499)&gt;1,"DUPLICATE","UNIQUE"))</f>
        <v/>
      </c>
      <c r="AD499" s="32">
        <f>IF(A499="","",IF(AA499="Rejected",IF(AB499&lt;&gt;"","REJECTED","ADD REASON"),IF(AND(B499&lt;&gt;"",C499&lt;&gt;"",D499&lt;&gt;"",E499&lt;&gt;"",F499&lt;&gt;"",G499&lt;&gt;"",H499&lt;&gt;"",J499&lt;&gt;"",K499&lt;&gt;"",L499&lt;&gt;"",M499&lt;&gt;"",N499&lt;&gt;"",O499&lt;&gt;"",P499&lt;&gt;"",Q499&lt;&gt;"",R499&lt;&gt;"",S499&lt;&gt;"",T499&lt;&gt;"",U499&lt;&gt;"",V499&lt;&gt;"",W499&lt;&gt;"",X499&lt;&gt;"",Y499&lt;&gt;"",AC499="UNIQUE"),"READY","CHECK")))</f>
        <v/>
      </c>
    </row>
    <row r="500">
      <c r="A500" s="25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37" t="n"/>
      <c r="K500" s="34" t="n"/>
      <c r="L500" s="26" t="n"/>
      <c r="M500" s="37" t="n"/>
      <c r="N500" s="37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34" t="n"/>
      <c r="Y500" s="26" t="n"/>
      <c r="Z500" s="26" t="n"/>
      <c r="AA500" s="26" t="n"/>
      <c r="AB500" s="27" t="n"/>
      <c r="AC500" s="32">
        <f>IF(A500="","",IF(COUNTIF($H$5:$H$1004,H500)&gt;1,"DUPLICATE","UNIQUE"))</f>
        <v/>
      </c>
      <c r="AD500" s="32">
        <f>IF(A500="","",IF(AA500="Rejected",IF(AB500&lt;&gt;"","REJECTED","ADD REASON"),IF(AND(B500&lt;&gt;"",C500&lt;&gt;"",D500&lt;&gt;"",E500&lt;&gt;"",F500&lt;&gt;"",G500&lt;&gt;"",H500&lt;&gt;"",J500&lt;&gt;"",K500&lt;&gt;"",L500&lt;&gt;"",M500&lt;&gt;"",N500&lt;&gt;"",O500&lt;&gt;"",P500&lt;&gt;"",Q500&lt;&gt;"",R500&lt;&gt;"",S500&lt;&gt;"",T500&lt;&gt;"",U500&lt;&gt;"",V500&lt;&gt;"",W500&lt;&gt;"",X500&lt;&gt;"",Y500&lt;&gt;"",AC500="UNIQUE"),"READY","CHECK")))</f>
        <v/>
      </c>
    </row>
    <row r="501">
      <c r="A501" s="25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37" t="n"/>
      <c r="K501" s="34" t="n"/>
      <c r="L501" s="26" t="n"/>
      <c r="M501" s="37" t="n"/>
      <c r="N501" s="37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34" t="n"/>
      <c r="Y501" s="26" t="n"/>
      <c r="Z501" s="26" t="n"/>
      <c r="AA501" s="26" t="n"/>
      <c r="AB501" s="27" t="n"/>
      <c r="AC501" s="32">
        <f>IF(A501="","",IF(COUNTIF($H$5:$H$1004,H501)&gt;1,"DUPLICATE","UNIQUE"))</f>
        <v/>
      </c>
      <c r="AD501" s="32">
        <f>IF(A501="","",IF(AA501="Rejected",IF(AB501&lt;&gt;"","REJECTED","ADD REASON"),IF(AND(B501&lt;&gt;"",C501&lt;&gt;"",D501&lt;&gt;"",E501&lt;&gt;"",F501&lt;&gt;"",G501&lt;&gt;"",H501&lt;&gt;"",J501&lt;&gt;"",K501&lt;&gt;"",L501&lt;&gt;"",M501&lt;&gt;"",N501&lt;&gt;"",O501&lt;&gt;"",P501&lt;&gt;"",Q501&lt;&gt;"",R501&lt;&gt;"",S501&lt;&gt;"",T501&lt;&gt;"",U501&lt;&gt;"",V501&lt;&gt;"",W501&lt;&gt;"",X501&lt;&gt;"",Y501&lt;&gt;"",AC501="UNIQUE"),"READY","CHECK")))</f>
        <v/>
      </c>
    </row>
    <row r="502">
      <c r="A502" s="25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37" t="n"/>
      <c r="K502" s="34" t="n"/>
      <c r="L502" s="26" t="n"/>
      <c r="M502" s="37" t="n"/>
      <c r="N502" s="37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34" t="n"/>
      <c r="Y502" s="26" t="n"/>
      <c r="Z502" s="26" t="n"/>
      <c r="AA502" s="26" t="n"/>
      <c r="AB502" s="27" t="n"/>
      <c r="AC502" s="32">
        <f>IF(A502="","",IF(COUNTIF($H$5:$H$1004,H502)&gt;1,"DUPLICATE","UNIQUE"))</f>
        <v/>
      </c>
      <c r="AD502" s="32">
        <f>IF(A502="","",IF(AA502="Rejected",IF(AB502&lt;&gt;"","REJECTED","ADD REASON"),IF(AND(B502&lt;&gt;"",C502&lt;&gt;"",D502&lt;&gt;"",E502&lt;&gt;"",F502&lt;&gt;"",G502&lt;&gt;"",H502&lt;&gt;"",J502&lt;&gt;"",K502&lt;&gt;"",L502&lt;&gt;"",M502&lt;&gt;"",N502&lt;&gt;"",O502&lt;&gt;"",P502&lt;&gt;"",Q502&lt;&gt;"",R502&lt;&gt;"",S502&lt;&gt;"",T502&lt;&gt;"",U502&lt;&gt;"",V502&lt;&gt;"",W502&lt;&gt;"",X502&lt;&gt;"",Y502&lt;&gt;"",AC502="UNIQUE"),"READY","CHECK")))</f>
        <v/>
      </c>
    </row>
    <row r="503">
      <c r="A503" s="25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37" t="n"/>
      <c r="K503" s="34" t="n"/>
      <c r="L503" s="26" t="n"/>
      <c r="M503" s="37" t="n"/>
      <c r="N503" s="37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34" t="n"/>
      <c r="Y503" s="26" t="n"/>
      <c r="Z503" s="26" t="n"/>
      <c r="AA503" s="26" t="n"/>
      <c r="AB503" s="27" t="n"/>
      <c r="AC503" s="32">
        <f>IF(A503="","",IF(COUNTIF($H$5:$H$1004,H503)&gt;1,"DUPLICATE","UNIQUE"))</f>
        <v/>
      </c>
      <c r="AD503" s="32">
        <f>IF(A503="","",IF(AA503="Rejected",IF(AB503&lt;&gt;"","REJECTED","ADD REASON"),IF(AND(B503&lt;&gt;"",C503&lt;&gt;"",D503&lt;&gt;"",E503&lt;&gt;"",F503&lt;&gt;"",G503&lt;&gt;"",H503&lt;&gt;"",J503&lt;&gt;"",K503&lt;&gt;"",L503&lt;&gt;"",M503&lt;&gt;"",N503&lt;&gt;"",O503&lt;&gt;"",P503&lt;&gt;"",Q503&lt;&gt;"",R503&lt;&gt;"",S503&lt;&gt;"",T503&lt;&gt;"",U503&lt;&gt;"",V503&lt;&gt;"",W503&lt;&gt;"",X503&lt;&gt;"",Y503&lt;&gt;"",AC503="UNIQUE"),"READY","CHECK")))</f>
        <v/>
      </c>
    </row>
    <row r="504">
      <c r="A504" s="25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37" t="n"/>
      <c r="K504" s="34" t="n"/>
      <c r="L504" s="26" t="n"/>
      <c r="M504" s="37" t="n"/>
      <c r="N504" s="37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34" t="n"/>
      <c r="Y504" s="26" t="n"/>
      <c r="Z504" s="26" t="n"/>
      <c r="AA504" s="26" t="n"/>
      <c r="AB504" s="27" t="n"/>
      <c r="AC504" s="32">
        <f>IF(A504="","",IF(COUNTIF($H$5:$H$1004,H504)&gt;1,"DUPLICATE","UNIQUE"))</f>
        <v/>
      </c>
      <c r="AD504" s="32">
        <f>IF(A504="","",IF(AA504="Rejected",IF(AB504&lt;&gt;"","REJECTED","ADD REASON"),IF(AND(B504&lt;&gt;"",C504&lt;&gt;"",D504&lt;&gt;"",E504&lt;&gt;"",F504&lt;&gt;"",G504&lt;&gt;"",H504&lt;&gt;"",J504&lt;&gt;"",K504&lt;&gt;"",L504&lt;&gt;"",M504&lt;&gt;"",N504&lt;&gt;"",O504&lt;&gt;"",P504&lt;&gt;"",Q504&lt;&gt;"",R504&lt;&gt;"",S504&lt;&gt;"",T504&lt;&gt;"",U504&lt;&gt;"",V504&lt;&gt;"",W504&lt;&gt;"",X504&lt;&gt;"",Y504&lt;&gt;"",AC504="UNIQUE"),"READY","CHECK")))</f>
        <v/>
      </c>
    </row>
    <row r="505">
      <c r="A505" s="25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37" t="n"/>
      <c r="K505" s="34" t="n"/>
      <c r="L505" s="26" t="n"/>
      <c r="M505" s="37" t="n"/>
      <c r="N505" s="37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34" t="n"/>
      <c r="Y505" s="26" t="n"/>
      <c r="Z505" s="26" t="n"/>
      <c r="AA505" s="26" t="n"/>
      <c r="AB505" s="27" t="n"/>
      <c r="AC505" s="32">
        <f>IF(A505="","",IF(COUNTIF($H$5:$H$1004,H505)&gt;1,"DUPLICATE","UNIQUE"))</f>
        <v/>
      </c>
      <c r="AD505" s="32">
        <f>IF(A505="","",IF(AA505="Rejected",IF(AB505&lt;&gt;"","REJECTED","ADD REASON"),IF(AND(B505&lt;&gt;"",C505&lt;&gt;"",D505&lt;&gt;"",E505&lt;&gt;"",F505&lt;&gt;"",G505&lt;&gt;"",H505&lt;&gt;"",J505&lt;&gt;"",K505&lt;&gt;"",L505&lt;&gt;"",M505&lt;&gt;"",N505&lt;&gt;"",O505&lt;&gt;"",P505&lt;&gt;"",Q505&lt;&gt;"",R505&lt;&gt;"",S505&lt;&gt;"",T505&lt;&gt;"",U505&lt;&gt;"",V505&lt;&gt;"",W505&lt;&gt;"",X505&lt;&gt;"",Y505&lt;&gt;"",AC505="UNIQUE"),"READY","CHECK")))</f>
        <v/>
      </c>
    </row>
    <row r="506">
      <c r="A506" s="25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37" t="n"/>
      <c r="K506" s="34" t="n"/>
      <c r="L506" s="26" t="n"/>
      <c r="M506" s="37" t="n"/>
      <c r="N506" s="37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34" t="n"/>
      <c r="Y506" s="26" t="n"/>
      <c r="Z506" s="26" t="n"/>
      <c r="AA506" s="26" t="n"/>
      <c r="AB506" s="27" t="n"/>
      <c r="AC506" s="32">
        <f>IF(A506="","",IF(COUNTIF($H$5:$H$1004,H506)&gt;1,"DUPLICATE","UNIQUE"))</f>
        <v/>
      </c>
      <c r="AD506" s="32">
        <f>IF(A506="","",IF(AA506="Rejected",IF(AB506&lt;&gt;"","REJECTED","ADD REASON"),IF(AND(B506&lt;&gt;"",C506&lt;&gt;"",D506&lt;&gt;"",E506&lt;&gt;"",F506&lt;&gt;"",G506&lt;&gt;"",H506&lt;&gt;"",J506&lt;&gt;"",K506&lt;&gt;"",L506&lt;&gt;"",M506&lt;&gt;"",N506&lt;&gt;"",O506&lt;&gt;"",P506&lt;&gt;"",Q506&lt;&gt;"",R506&lt;&gt;"",S506&lt;&gt;"",T506&lt;&gt;"",U506&lt;&gt;"",V506&lt;&gt;"",W506&lt;&gt;"",X506&lt;&gt;"",Y506&lt;&gt;"",AC506="UNIQUE"),"READY","CHECK")))</f>
        <v/>
      </c>
    </row>
    <row r="507">
      <c r="A507" s="25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37" t="n"/>
      <c r="K507" s="34" t="n"/>
      <c r="L507" s="26" t="n"/>
      <c r="M507" s="37" t="n"/>
      <c r="N507" s="37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34" t="n"/>
      <c r="Y507" s="26" t="n"/>
      <c r="Z507" s="26" t="n"/>
      <c r="AA507" s="26" t="n"/>
      <c r="AB507" s="27" t="n"/>
      <c r="AC507" s="32">
        <f>IF(A507="","",IF(COUNTIF($H$5:$H$1004,H507)&gt;1,"DUPLICATE","UNIQUE"))</f>
        <v/>
      </c>
      <c r="AD507" s="32">
        <f>IF(A507="","",IF(AA507="Rejected",IF(AB507&lt;&gt;"","REJECTED","ADD REASON"),IF(AND(B507&lt;&gt;"",C507&lt;&gt;"",D507&lt;&gt;"",E507&lt;&gt;"",F507&lt;&gt;"",G507&lt;&gt;"",H507&lt;&gt;"",J507&lt;&gt;"",K507&lt;&gt;"",L507&lt;&gt;"",M507&lt;&gt;"",N507&lt;&gt;"",O507&lt;&gt;"",P507&lt;&gt;"",Q507&lt;&gt;"",R507&lt;&gt;"",S507&lt;&gt;"",T507&lt;&gt;"",U507&lt;&gt;"",V507&lt;&gt;"",W507&lt;&gt;"",X507&lt;&gt;"",Y507&lt;&gt;"",AC507="UNIQUE"),"READY","CHECK")))</f>
        <v/>
      </c>
    </row>
    <row r="508">
      <c r="A508" s="25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37" t="n"/>
      <c r="K508" s="34" t="n"/>
      <c r="L508" s="26" t="n"/>
      <c r="M508" s="37" t="n"/>
      <c r="N508" s="37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34" t="n"/>
      <c r="Y508" s="26" t="n"/>
      <c r="Z508" s="26" t="n"/>
      <c r="AA508" s="26" t="n"/>
      <c r="AB508" s="27" t="n"/>
      <c r="AC508" s="32">
        <f>IF(A508="","",IF(COUNTIF($H$5:$H$1004,H508)&gt;1,"DUPLICATE","UNIQUE"))</f>
        <v/>
      </c>
      <c r="AD508" s="32">
        <f>IF(A508="","",IF(AA508="Rejected",IF(AB508&lt;&gt;"","REJECTED","ADD REASON"),IF(AND(B508&lt;&gt;"",C508&lt;&gt;"",D508&lt;&gt;"",E508&lt;&gt;"",F508&lt;&gt;"",G508&lt;&gt;"",H508&lt;&gt;"",J508&lt;&gt;"",K508&lt;&gt;"",L508&lt;&gt;"",M508&lt;&gt;"",N508&lt;&gt;"",O508&lt;&gt;"",P508&lt;&gt;"",Q508&lt;&gt;"",R508&lt;&gt;"",S508&lt;&gt;"",T508&lt;&gt;"",U508&lt;&gt;"",V508&lt;&gt;"",W508&lt;&gt;"",X508&lt;&gt;"",Y508&lt;&gt;"",AC508="UNIQUE"),"READY","CHECK")))</f>
        <v/>
      </c>
    </row>
    <row r="509">
      <c r="A509" s="25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37" t="n"/>
      <c r="K509" s="34" t="n"/>
      <c r="L509" s="26" t="n"/>
      <c r="M509" s="37" t="n"/>
      <c r="N509" s="37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34" t="n"/>
      <c r="Y509" s="26" t="n"/>
      <c r="Z509" s="26" t="n"/>
      <c r="AA509" s="26" t="n"/>
      <c r="AB509" s="27" t="n"/>
      <c r="AC509" s="32">
        <f>IF(A509="","",IF(COUNTIF($H$5:$H$1004,H509)&gt;1,"DUPLICATE","UNIQUE"))</f>
        <v/>
      </c>
      <c r="AD509" s="32">
        <f>IF(A509="","",IF(AA509="Rejected",IF(AB509&lt;&gt;"","REJECTED","ADD REASON"),IF(AND(B509&lt;&gt;"",C509&lt;&gt;"",D509&lt;&gt;"",E509&lt;&gt;"",F509&lt;&gt;"",G509&lt;&gt;"",H509&lt;&gt;"",J509&lt;&gt;"",K509&lt;&gt;"",L509&lt;&gt;"",M509&lt;&gt;"",N509&lt;&gt;"",O509&lt;&gt;"",P509&lt;&gt;"",Q509&lt;&gt;"",R509&lt;&gt;"",S509&lt;&gt;"",T509&lt;&gt;"",U509&lt;&gt;"",V509&lt;&gt;"",W509&lt;&gt;"",X509&lt;&gt;"",Y509&lt;&gt;"",AC509="UNIQUE"),"READY","CHECK")))</f>
        <v/>
      </c>
    </row>
    <row r="510">
      <c r="A510" s="25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37" t="n"/>
      <c r="K510" s="34" t="n"/>
      <c r="L510" s="26" t="n"/>
      <c r="M510" s="37" t="n"/>
      <c r="N510" s="37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34" t="n"/>
      <c r="Y510" s="26" t="n"/>
      <c r="Z510" s="26" t="n"/>
      <c r="AA510" s="26" t="n"/>
      <c r="AB510" s="27" t="n"/>
      <c r="AC510" s="32">
        <f>IF(A510="","",IF(COUNTIF($H$5:$H$1004,H510)&gt;1,"DUPLICATE","UNIQUE"))</f>
        <v/>
      </c>
      <c r="AD510" s="32">
        <f>IF(A510="","",IF(AA510="Rejected",IF(AB510&lt;&gt;"","REJECTED","ADD REASON"),IF(AND(B510&lt;&gt;"",C510&lt;&gt;"",D510&lt;&gt;"",E510&lt;&gt;"",F510&lt;&gt;"",G510&lt;&gt;"",H510&lt;&gt;"",J510&lt;&gt;"",K510&lt;&gt;"",L510&lt;&gt;"",M510&lt;&gt;"",N510&lt;&gt;"",O510&lt;&gt;"",P510&lt;&gt;"",Q510&lt;&gt;"",R510&lt;&gt;"",S510&lt;&gt;"",T510&lt;&gt;"",U510&lt;&gt;"",V510&lt;&gt;"",W510&lt;&gt;"",X510&lt;&gt;"",Y510&lt;&gt;"",AC510="UNIQUE"),"READY","CHECK")))</f>
        <v/>
      </c>
    </row>
    <row r="511">
      <c r="A511" s="25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37" t="n"/>
      <c r="K511" s="34" t="n"/>
      <c r="L511" s="26" t="n"/>
      <c r="M511" s="37" t="n"/>
      <c r="N511" s="37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34" t="n"/>
      <c r="Y511" s="26" t="n"/>
      <c r="Z511" s="26" t="n"/>
      <c r="AA511" s="26" t="n"/>
      <c r="AB511" s="27" t="n"/>
      <c r="AC511" s="32">
        <f>IF(A511="","",IF(COUNTIF($H$5:$H$1004,H511)&gt;1,"DUPLICATE","UNIQUE"))</f>
        <v/>
      </c>
      <c r="AD511" s="32">
        <f>IF(A511="","",IF(AA511="Rejected",IF(AB511&lt;&gt;"","REJECTED","ADD REASON"),IF(AND(B511&lt;&gt;"",C511&lt;&gt;"",D511&lt;&gt;"",E511&lt;&gt;"",F511&lt;&gt;"",G511&lt;&gt;"",H511&lt;&gt;"",J511&lt;&gt;"",K511&lt;&gt;"",L511&lt;&gt;"",M511&lt;&gt;"",N511&lt;&gt;"",O511&lt;&gt;"",P511&lt;&gt;"",Q511&lt;&gt;"",R511&lt;&gt;"",S511&lt;&gt;"",T511&lt;&gt;"",U511&lt;&gt;"",V511&lt;&gt;"",W511&lt;&gt;"",X511&lt;&gt;"",Y511&lt;&gt;"",AC511="UNIQUE"),"READY","CHECK")))</f>
        <v/>
      </c>
    </row>
    <row r="512">
      <c r="A512" s="25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37" t="n"/>
      <c r="K512" s="34" t="n"/>
      <c r="L512" s="26" t="n"/>
      <c r="M512" s="37" t="n"/>
      <c r="N512" s="37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34" t="n"/>
      <c r="Y512" s="26" t="n"/>
      <c r="Z512" s="26" t="n"/>
      <c r="AA512" s="26" t="n"/>
      <c r="AB512" s="27" t="n"/>
      <c r="AC512" s="32">
        <f>IF(A512="","",IF(COUNTIF($H$5:$H$1004,H512)&gt;1,"DUPLICATE","UNIQUE"))</f>
        <v/>
      </c>
      <c r="AD512" s="32">
        <f>IF(A512="","",IF(AA512="Rejected",IF(AB512&lt;&gt;"","REJECTED","ADD REASON"),IF(AND(B512&lt;&gt;"",C512&lt;&gt;"",D512&lt;&gt;"",E512&lt;&gt;"",F512&lt;&gt;"",G512&lt;&gt;"",H512&lt;&gt;"",J512&lt;&gt;"",K512&lt;&gt;"",L512&lt;&gt;"",M512&lt;&gt;"",N512&lt;&gt;"",O512&lt;&gt;"",P512&lt;&gt;"",Q512&lt;&gt;"",R512&lt;&gt;"",S512&lt;&gt;"",T512&lt;&gt;"",U512&lt;&gt;"",V512&lt;&gt;"",W512&lt;&gt;"",X512&lt;&gt;"",Y512&lt;&gt;"",AC512="UNIQUE"),"READY","CHECK")))</f>
        <v/>
      </c>
    </row>
    <row r="513">
      <c r="A513" s="25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37" t="n"/>
      <c r="K513" s="34" t="n"/>
      <c r="L513" s="26" t="n"/>
      <c r="M513" s="37" t="n"/>
      <c r="N513" s="37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34" t="n"/>
      <c r="Y513" s="26" t="n"/>
      <c r="Z513" s="26" t="n"/>
      <c r="AA513" s="26" t="n"/>
      <c r="AB513" s="27" t="n"/>
      <c r="AC513" s="32">
        <f>IF(A513="","",IF(COUNTIF($H$5:$H$1004,H513)&gt;1,"DUPLICATE","UNIQUE"))</f>
        <v/>
      </c>
      <c r="AD513" s="32">
        <f>IF(A513="","",IF(AA513="Rejected",IF(AB513&lt;&gt;"","REJECTED","ADD REASON"),IF(AND(B513&lt;&gt;"",C513&lt;&gt;"",D513&lt;&gt;"",E513&lt;&gt;"",F513&lt;&gt;"",G513&lt;&gt;"",H513&lt;&gt;"",J513&lt;&gt;"",K513&lt;&gt;"",L513&lt;&gt;"",M513&lt;&gt;"",N513&lt;&gt;"",O513&lt;&gt;"",P513&lt;&gt;"",Q513&lt;&gt;"",R513&lt;&gt;"",S513&lt;&gt;"",T513&lt;&gt;"",U513&lt;&gt;"",V513&lt;&gt;"",W513&lt;&gt;"",X513&lt;&gt;"",Y513&lt;&gt;"",AC513="UNIQUE"),"READY","CHECK")))</f>
        <v/>
      </c>
    </row>
    <row r="514">
      <c r="A514" s="25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37" t="n"/>
      <c r="K514" s="34" t="n"/>
      <c r="L514" s="26" t="n"/>
      <c r="M514" s="37" t="n"/>
      <c r="N514" s="37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34" t="n"/>
      <c r="Y514" s="26" t="n"/>
      <c r="Z514" s="26" t="n"/>
      <c r="AA514" s="26" t="n"/>
      <c r="AB514" s="27" t="n"/>
      <c r="AC514" s="32">
        <f>IF(A514="","",IF(COUNTIF($H$5:$H$1004,H514)&gt;1,"DUPLICATE","UNIQUE"))</f>
        <v/>
      </c>
      <c r="AD514" s="32">
        <f>IF(A514="","",IF(AA514="Rejected",IF(AB514&lt;&gt;"","REJECTED","ADD REASON"),IF(AND(B514&lt;&gt;"",C514&lt;&gt;"",D514&lt;&gt;"",E514&lt;&gt;"",F514&lt;&gt;"",G514&lt;&gt;"",H514&lt;&gt;"",J514&lt;&gt;"",K514&lt;&gt;"",L514&lt;&gt;"",M514&lt;&gt;"",N514&lt;&gt;"",O514&lt;&gt;"",P514&lt;&gt;"",Q514&lt;&gt;"",R514&lt;&gt;"",S514&lt;&gt;"",T514&lt;&gt;"",U514&lt;&gt;"",V514&lt;&gt;"",W514&lt;&gt;"",X514&lt;&gt;"",Y514&lt;&gt;"",AC514="UNIQUE"),"READY","CHECK")))</f>
        <v/>
      </c>
    </row>
    <row r="515">
      <c r="A515" s="25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37" t="n"/>
      <c r="K515" s="34" t="n"/>
      <c r="L515" s="26" t="n"/>
      <c r="M515" s="37" t="n"/>
      <c r="N515" s="37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34" t="n"/>
      <c r="Y515" s="26" t="n"/>
      <c r="Z515" s="26" t="n"/>
      <c r="AA515" s="26" t="n"/>
      <c r="AB515" s="27" t="n"/>
      <c r="AC515" s="32">
        <f>IF(A515="","",IF(COUNTIF($H$5:$H$1004,H515)&gt;1,"DUPLICATE","UNIQUE"))</f>
        <v/>
      </c>
      <c r="AD515" s="32">
        <f>IF(A515="","",IF(AA515="Rejected",IF(AB515&lt;&gt;"","REJECTED","ADD REASON"),IF(AND(B515&lt;&gt;"",C515&lt;&gt;"",D515&lt;&gt;"",E515&lt;&gt;"",F515&lt;&gt;"",G515&lt;&gt;"",H515&lt;&gt;"",J515&lt;&gt;"",K515&lt;&gt;"",L515&lt;&gt;"",M515&lt;&gt;"",N515&lt;&gt;"",O515&lt;&gt;"",P515&lt;&gt;"",Q515&lt;&gt;"",R515&lt;&gt;"",S515&lt;&gt;"",T515&lt;&gt;"",U515&lt;&gt;"",V515&lt;&gt;"",W515&lt;&gt;"",X515&lt;&gt;"",Y515&lt;&gt;"",AC515="UNIQUE"),"READY","CHECK")))</f>
        <v/>
      </c>
    </row>
    <row r="516">
      <c r="A516" s="25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37" t="n"/>
      <c r="K516" s="34" t="n"/>
      <c r="L516" s="26" t="n"/>
      <c r="M516" s="37" t="n"/>
      <c r="N516" s="37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34" t="n"/>
      <c r="Y516" s="26" t="n"/>
      <c r="Z516" s="26" t="n"/>
      <c r="AA516" s="26" t="n"/>
      <c r="AB516" s="27" t="n"/>
      <c r="AC516" s="32">
        <f>IF(A516="","",IF(COUNTIF($H$5:$H$1004,H516)&gt;1,"DUPLICATE","UNIQUE"))</f>
        <v/>
      </c>
      <c r="AD516" s="32">
        <f>IF(A516="","",IF(AA516="Rejected",IF(AB516&lt;&gt;"","REJECTED","ADD REASON"),IF(AND(B516&lt;&gt;"",C516&lt;&gt;"",D516&lt;&gt;"",E516&lt;&gt;"",F516&lt;&gt;"",G516&lt;&gt;"",H516&lt;&gt;"",J516&lt;&gt;"",K516&lt;&gt;"",L516&lt;&gt;"",M516&lt;&gt;"",N516&lt;&gt;"",O516&lt;&gt;"",P516&lt;&gt;"",Q516&lt;&gt;"",R516&lt;&gt;"",S516&lt;&gt;"",T516&lt;&gt;"",U516&lt;&gt;"",V516&lt;&gt;"",W516&lt;&gt;"",X516&lt;&gt;"",Y516&lt;&gt;"",AC516="UNIQUE"),"READY","CHECK")))</f>
        <v/>
      </c>
    </row>
    <row r="517">
      <c r="A517" s="25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37" t="n"/>
      <c r="K517" s="34" t="n"/>
      <c r="L517" s="26" t="n"/>
      <c r="M517" s="37" t="n"/>
      <c r="N517" s="37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34" t="n"/>
      <c r="Y517" s="26" t="n"/>
      <c r="Z517" s="26" t="n"/>
      <c r="AA517" s="26" t="n"/>
      <c r="AB517" s="27" t="n"/>
      <c r="AC517" s="32">
        <f>IF(A517="","",IF(COUNTIF($H$5:$H$1004,H517)&gt;1,"DUPLICATE","UNIQUE"))</f>
        <v/>
      </c>
      <c r="AD517" s="32">
        <f>IF(A517="","",IF(AA517="Rejected",IF(AB517&lt;&gt;"","REJECTED","ADD REASON"),IF(AND(B517&lt;&gt;"",C517&lt;&gt;"",D517&lt;&gt;"",E517&lt;&gt;"",F517&lt;&gt;"",G517&lt;&gt;"",H517&lt;&gt;"",J517&lt;&gt;"",K517&lt;&gt;"",L517&lt;&gt;"",M517&lt;&gt;"",N517&lt;&gt;"",O517&lt;&gt;"",P517&lt;&gt;"",Q517&lt;&gt;"",R517&lt;&gt;"",S517&lt;&gt;"",T517&lt;&gt;"",U517&lt;&gt;"",V517&lt;&gt;"",W517&lt;&gt;"",X517&lt;&gt;"",Y517&lt;&gt;"",AC517="UNIQUE"),"READY","CHECK")))</f>
        <v/>
      </c>
    </row>
    <row r="518">
      <c r="A518" s="25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37" t="n"/>
      <c r="K518" s="34" t="n"/>
      <c r="L518" s="26" t="n"/>
      <c r="M518" s="37" t="n"/>
      <c r="N518" s="37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34" t="n"/>
      <c r="Y518" s="26" t="n"/>
      <c r="Z518" s="26" t="n"/>
      <c r="AA518" s="26" t="n"/>
      <c r="AB518" s="27" t="n"/>
      <c r="AC518" s="32">
        <f>IF(A518="","",IF(COUNTIF($H$5:$H$1004,H518)&gt;1,"DUPLICATE","UNIQUE"))</f>
        <v/>
      </c>
      <c r="AD518" s="32">
        <f>IF(A518="","",IF(AA518="Rejected",IF(AB518&lt;&gt;"","REJECTED","ADD REASON"),IF(AND(B518&lt;&gt;"",C518&lt;&gt;"",D518&lt;&gt;"",E518&lt;&gt;"",F518&lt;&gt;"",G518&lt;&gt;"",H518&lt;&gt;"",J518&lt;&gt;"",K518&lt;&gt;"",L518&lt;&gt;"",M518&lt;&gt;"",N518&lt;&gt;"",O518&lt;&gt;"",P518&lt;&gt;"",Q518&lt;&gt;"",R518&lt;&gt;"",S518&lt;&gt;"",T518&lt;&gt;"",U518&lt;&gt;"",V518&lt;&gt;"",W518&lt;&gt;"",X518&lt;&gt;"",Y518&lt;&gt;"",AC518="UNIQUE"),"READY","CHECK")))</f>
        <v/>
      </c>
    </row>
    <row r="519">
      <c r="A519" s="25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37" t="n"/>
      <c r="K519" s="34" t="n"/>
      <c r="L519" s="26" t="n"/>
      <c r="M519" s="37" t="n"/>
      <c r="N519" s="37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34" t="n"/>
      <c r="Y519" s="26" t="n"/>
      <c r="Z519" s="26" t="n"/>
      <c r="AA519" s="26" t="n"/>
      <c r="AB519" s="27" t="n"/>
      <c r="AC519" s="32">
        <f>IF(A519="","",IF(COUNTIF($H$5:$H$1004,H519)&gt;1,"DUPLICATE","UNIQUE"))</f>
        <v/>
      </c>
      <c r="AD519" s="32">
        <f>IF(A519="","",IF(AA519="Rejected",IF(AB519&lt;&gt;"","REJECTED","ADD REASON"),IF(AND(B519&lt;&gt;"",C519&lt;&gt;"",D519&lt;&gt;"",E519&lt;&gt;"",F519&lt;&gt;"",G519&lt;&gt;"",H519&lt;&gt;"",J519&lt;&gt;"",K519&lt;&gt;"",L519&lt;&gt;"",M519&lt;&gt;"",N519&lt;&gt;"",O519&lt;&gt;"",P519&lt;&gt;"",Q519&lt;&gt;"",R519&lt;&gt;"",S519&lt;&gt;"",T519&lt;&gt;"",U519&lt;&gt;"",V519&lt;&gt;"",W519&lt;&gt;"",X519&lt;&gt;"",Y519&lt;&gt;"",AC519="UNIQUE"),"READY","CHECK")))</f>
        <v/>
      </c>
    </row>
    <row r="520">
      <c r="A520" s="25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37" t="n"/>
      <c r="K520" s="34" t="n"/>
      <c r="L520" s="26" t="n"/>
      <c r="M520" s="37" t="n"/>
      <c r="N520" s="37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34" t="n"/>
      <c r="Y520" s="26" t="n"/>
      <c r="Z520" s="26" t="n"/>
      <c r="AA520" s="26" t="n"/>
      <c r="AB520" s="27" t="n"/>
      <c r="AC520" s="32">
        <f>IF(A520="","",IF(COUNTIF($H$5:$H$1004,H520)&gt;1,"DUPLICATE","UNIQUE"))</f>
        <v/>
      </c>
      <c r="AD520" s="32">
        <f>IF(A520="","",IF(AA520="Rejected",IF(AB520&lt;&gt;"","REJECTED","ADD REASON"),IF(AND(B520&lt;&gt;"",C520&lt;&gt;"",D520&lt;&gt;"",E520&lt;&gt;"",F520&lt;&gt;"",G520&lt;&gt;"",H520&lt;&gt;"",J520&lt;&gt;"",K520&lt;&gt;"",L520&lt;&gt;"",M520&lt;&gt;"",N520&lt;&gt;"",O520&lt;&gt;"",P520&lt;&gt;"",Q520&lt;&gt;"",R520&lt;&gt;"",S520&lt;&gt;"",T520&lt;&gt;"",U520&lt;&gt;"",V520&lt;&gt;"",W520&lt;&gt;"",X520&lt;&gt;"",Y520&lt;&gt;"",AC520="UNIQUE"),"READY","CHECK")))</f>
        <v/>
      </c>
    </row>
    <row r="521">
      <c r="A521" s="25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37" t="n"/>
      <c r="K521" s="34" t="n"/>
      <c r="L521" s="26" t="n"/>
      <c r="M521" s="37" t="n"/>
      <c r="N521" s="37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34" t="n"/>
      <c r="Y521" s="26" t="n"/>
      <c r="Z521" s="26" t="n"/>
      <c r="AA521" s="26" t="n"/>
      <c r="AB521" s="27" t="n"/>
      <c r="AC521" s="32">
        <f>IF(A521="","",IF(COUNTIF($H$5:$H$1004,H521)&gt;1,"DUPLICATE","UNIQUE"))</f>
        <v/>
      </c>
      <c r="AD521" s="32">
        <f>IF(A521="","",IF(AA521="Rejected",IF(AB521&lt;&gt;"","REJECTED","ADD REASON"),IF(AND(B521&lt;&gt;"",C521&lt;&gt;"",D521&lt;&gt;"",E521&lt;&gt;"",F521&lt;&gt;"",G521&lt;&gt;"",H521&lt;&gt;"",J521&lt;&gt;"",K521&lt;&gt;"",L521&lt;&gt;"",M521&lt;&gt;"",N521&lt;&gt;"",O521&lt;&gt;"",P521&lt;&gt;"",Q521&lt;&gt;"",R521&lt;&gt;"",S521&lt;&gt;"",T521&lt;&gt;"",U521&lt;&gt;"",V521&lt;&gt;"",W521&lt;&gt;"",X521&lt;&gt;"",Y521&lt;&gt;"",AC521="UNIQUE"),"READY","CHECK")))</f>
        <v/>
      </c>
    </row>
    <row r="522">
      <c r="A522" s="25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37" t="n"/>
      <c r="K522" s="34" t="n"/>
      <c r="L522" s="26" t="n"/>
      <c r="M522" s="37" t="n"/>
      <c r="N522" s="37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34" t="n"/>
      <c r="Y522" s="26" t="n"/>
      <c r="Z522" s="26" t="n"/>
      <c r="AA522" s="26" t="n"/>
      <c r="AB522" s="27" t="n"/>
      <c r="AC522" s="32">
        <f>IF(A522="","",IF(COUNTIF($H$5:$H$1004,H522)&gt;1,"DUPLICATE","UNIQUE"))</f>
        <v/>
      </c>
      <c r="AD522" s="32">
        <f>IF(A522="","",IF(AA522="Rejected",IF(AB522&lt;&gt;"","REJECTED","ADD REASON"),IF(AND(B522&lt;&gt;"",C522&lt;&gt;"",D522&lt;&gt;"",E522&lt;&gt;"",F522&lt;&gt;"",G522&lt;&gt;"",H522&lt;&gt;"",J522&lt;&gt;"",K522&lt;&gt;"",L522&lt;&gt;"",M522&lt;&gt;"",N522&lt;&gt;"",O522&lt;&gt;"",P522&lt;&gt;"",Q522&lt;&gt;"",R522&lt;&gt;"",S522&lt;&gt;"",T522&lt;&gt;"",U522&lt;&gt;"",V522&lt;&gt;"",W522&lt;&gt;"",X522&lt;&gt;"",Y522&lt;&gt;"",AC522="UNIQUE"),"READY","CHECK")))</f>
        <v/>
      </c>
    </row>
    <row r="523">
      <c r="A523" s="25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37" t="n"/>
      <c r="K523" s="34" t="n"/>
      <c r="L523" s="26" t="n"/>
      <c r="M523" s="37" t="n"/>
      <c r="N523" s="37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34" t="n"/>
      <c r="Y523" s="26" t="n"/>
      <c r="Z523" s="26" t="n"/>
      <c r="AA523" s="26" t="n"/>
      <c r="AB523" s="27" t="n"/>
      <c r="AC523" s="32">
        <f>IF(A523="","",IF(COUNTIF($H$5:$H$1004,H523)&gt;1,"DUPLICATE","UNIQUE"))</f>
        <v/>
      </c>
      <c r="AD523" s="32">
        <f>IF(A523="","",IF(AA523="Rejected",IF(AB523&lt;&gt;"","REJECTED","ADD REASON"),IF(AND(B523&lt;&gt;"",C523&lt;&gt;"",D523&lt;&gt;"",E523&lt;&gt;"",F523&lt;&gt;"",G523&lt;&gt;"",H523&lt;&gt;"",J523&lt;&gt;"",K523&lt;&gt;"",L523&lt;&gt;"",M523&lt;&gt;"",N523&lt;&gt;"",O523&lt;&gt;"",P523&lt;&gt;"",Q523&lt;&gt;"",R523&lt;&gt;"",S523&lt;&gt;"",T523&lt;&gt;"",U523&lt;&gt;"",V523&lt;&gt;"",W523&lt;&gt;"",X523&lt;&gt;"",Y523&lt;&gt;"",AC523="UNIQUE"),"READY","CHECK")))</f>
        <v/>
      </c>
    </row>
    <row r="524">
      <c r="A524" s="25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37" t="n"/>
      <c r="K524" s="34" t="n"/>
      <c r="L524" s="26" t="n"/>
      <c r="M524" s="37" t="n"/>
      <c r="N524" s="37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34" t="n"/>
      <c r="Y524" s="26" t="n"/>
      <c r="Z524" s="26" t="n"/>
      <c r="AA524" s="26" t="n"/>
      <c r="AB524" s="27" t="n"/>
      <c r="AC524" s="32">
        <f>IF(A524="","",IF(COUNTIF($H$5:$H$1004,H524)&gt;1,"DUPLICATE","UNIQUE"))</f>
        <v/>
      </c>
      <c r="AD524" s="32">
        <f>IF(A524="","",IF(AA524="Rejected",IF(AB524&lt;&gt;"","REJECTED","ADD REASON"),IF(AND(B524&lt;&gt;"",C524&lt;&gt;"",D524&lt;&gt;"",E524&lt;&gt;"",F524&lt;&gt;"",G524&lt;&gt;"",H524&lt;&gt;"",J524&lt;&gt;"",K524&lt;&gt;"",L524&lt;&gt;"",M524&lt;&gt;"",N524&lt;&gt;"",O524&lt;&gt;"",P524&lt;&gt;"",Q524&lt;&gt;"",R524&lt;&gt;"",S524&lt;&gt;"",T524&lt;&gt;"",U524&lt;&gt;"",V524&lt;&gt;"",W524&lt;&gt;"",X524&lt;&gt;"",Y524&lt;&gt;"",AC524="UNIQUE"),"READY","CHECK")))</f>
        <v/>
      </c>
    </row>
    <row r="525">
      <c r="A525" s="25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37" t="n"/>
      <c r="K525" s="34" t="n"/>
      <c r="L525" s="26" t="n"/>
      <c r="M525" s="37" t="n"/>
      <c r="N525" s="37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34" t="n"/>
      <c r="Y525" s="26" t="n"/>
      <c r="Z525" s="26" t="n"/>
      <c r="AA525" s="26" t="n"/>
      <c r="AB525" s="27" t="n"/>
      <c r="AC525" s="32">
        <f>IF(A525="","",IF(COUNTIF($H$5:$H$1004,H525)&gt;1,"DUPLICATE","UNIQUE"))</f>
        <v/>
      </c>
      <c r="AD525" s="32">
        <f>IF(A525="","",IF(AA525="Rejected",IF(AB525&lt;&gt;"","REJECTED","ADD REASON"),IF(AND(B525&lt;&gt;"",C525&lt;&gt;"",D525&lt;&gt;"",E525&lt;&gt;"",F525&lt;&gt;"",G525&lt;&gt;"",H525&lt;&gt;"",J525&lt;&gt;"",K525&lt;&gt;"",L525&lt;&gt;"",M525&lt;&gt;"",N525&lt;&gt;"",O525&lt;&gt;"",P525&lt;&gt;"",Q525&lt;&gt;"",R525&lt;&gt;"",S525&lt;&gt;"",T525&lt;&gt;"",U525&lt;&gt;"",V525&lt;&gt;"",W525&lt;&gt;"",X525&lt;&gt;"",Y525&lt;&gt;"",AC525="UNIQUE"),"READY","CHECK")))</f>
        <v/>
      </c>
    </row>
    <row r="526">
      <c r="A526" s="25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37" t="n"/>
      <c r="K526" s="34" t="n"/>
      <c r="L526" s="26" t="n"/>
      <c r="M526" s="37" t="n"/>
      <c r="N526" s="37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34" t="n"/>
      <c r="Y526" s="26" t="n"/>
      <c r="Z526" s="26" t="n"/>
      <c r="AA526" s="26" t="n"/>
      <c r="AB526" s="27" t="n"/>
      <c r="AC526" s="32">
        <f>IF(A526="","",IF(COUNTIF($H$5:$H$1004,H526)&gt;1,"DUPLICATE","UNIQUE"))</f>
        <v/>
      </c>
      <c r="AD526" s="32">
        <f>IF(A526="","",IF(AA526="Rejected",IF(AB526&lt;&gt;"","REJECTED","ADD REASON"),IF(AND(B526&lt;&gt;"",C526&lt;&gt;"",D526&lt;&gt;"",E526&lt;&gt;"",F526&lt;&gt;"",G526&lt;&gt;"",H526&lt;&gt;"",J526&lt;&gt;"",K526&lt;&gt;"",L526&lt;&gt;"",M526&lt;&gt;"",N526&lt;&gt;"",O526&lt;&gt;"",P526&lt;&gt;"",Q526&lt;&gt;"",R526&lt;&gt;"",S526&lt;&gt;"",T526&lt;&gt;"",U526&lt;&gt;"",V526&lt;&gt;"",W526&lt;&gt;"",X526&lt;&gt;"",Y526&lt;&gt;"",AC526="UNIQUE"),"READY","CHECK")))</f>
        <v/>
      </c>
    </row>
    <row r="527">
      <c r="A527" s="25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37" t="n"/>
      <c r="K527" s="34" t="n"/>
      <c r="L527" s="26" t="n"/>
      <c r="M527" s="37" t="n"/>
      <c r="N527" s="37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34" t="n"/>
      <c r="Y527" s="26" t="n"/>
      <c r="Z527" s="26" t="n"/>
      <c r="AA527" s="26" t="n"/>
      <c r="AB527" s="27" t="n"/>
      <c r="AC527" s="32">
        <f>IF(A527="","",IF(COUNTIF($H$5:$H$1004,H527)&gt;1,"DUPLICATE","UNIQUE"))</f>
        <v/>
      </c>
      <c r="AD527" s="32">
        <f>IF(A527="","",IF(AA527="Rejected",IF(AB527&lt;&gt;"","REJECTED","ADD REASON"),IF(AND(B527&lt;&gt;"",C527&lt;&gt;"",D527&lt;&gt;"",E527&lt;&gt;"",F527&lt;&gt;"",G527&lt;&gt;"",H527&lt;&gt;"",J527&lt;&gt;"",K527&lt;&gt;"",L527&lt;&gt;"",M527&lt;&gt;"",N527&lt;&gt;"",O527&lt;&gt;"",P527&lt;&gt;"",Q527&lt;&gt;"",R527&lt;&gt;"",S527&lt;&gt;"",T527&lt;&gt;"",U527&lt;&gt;"",V527&lt;&gt;"",W527&lt;&gt;"",X527&lt;&gt;"",Y527&lt;&gt;"",AC527="UNIQUE"),"READY","CHECK")))</f>
        <v/>
      </c>
    </row>
    <row r="528">
      <c r="A528" s="25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37" t="n"/>
      <c r="K528" s="34" t="n"/>
      <c r="L528" s="26" t="n"/>
      <c r="M528" s="37" t="n"/>
      <c r="N528" s="37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34" t="n"/>
      <c r="Y528" s="26" t="n"/>
      <c r="Z528" s="26" t="n"/>
      <c r="AA528" s="26" t="n"/>
      <c r="AB528" s="27" t="n"/>
      <c r="AC528" s="32">
        <f>IF(A528="","",IF(COUNTIF($H$5:$H$1004,H528)&gt;1,"DUPLICATE","UNIQUE"))</f>
        <v/>
      </c>
      <c r="AD528" s="32">
        <f>IF(A528="","",IF(AA528="Rejected",IF(AB528&lt;&gt;"","REJECTED","ADD REASON"),IF(AND(B528&lt;&gt;"",C528&lt;&gt;"",D528&lt;&gt;"",E528&lt;&gt;"",F528&lt;&gt;"",G528&lt;&gt;"",H528&lt;&gt;"",J528&lt;&gt;"",K528&lt;&gt;"",L528&lt;&gt;"",M528&lt;&gt;"",N528&lt;&gt;"",O528&lt;&gt;"",P528&lt;&gt;"",Q528&lt;&gt;"",R528&lt;&gt;"",S528&lt;&gt;"",T528&lt;&gt;"",U528&lt;&gt;"",V528&lt;&gt;"",W528&lt;&gt;"",X528&lt;&gt;"",Y528&lt;&gt;"",AC528="UNIQUE"),"READY","CHECK")))</f>
        <v/>
      </c>
    </row>
    <row r="529">
      <c r="A529" s="25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37" t="n"/>
      <c r="K529" s="34" t="n"/>
      <c r="L529" s="26" t="n"/>
      <c r="M529" s="37" t="n"/>
      <c r="N529" s="37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34" t="n"/>
      <c r="Y529" s="26" t="n"/>
      <c r="Z529" s="26" t="n"/>
      <c r="AA529" s="26" t="n"/>
      <c r="AB529" s="27" t="n"/>
      <c r="AC529" s="32">
        <f>IF(A529="","",IF(COUNTIF($H$5:$H$1004,H529)&gt;1,"DUPLICATE","UNIQUE"))</f>
        <v/>
      </c>
      <c r="AD529" s="32">
        <f>IF(A529="","",IF(AA529="Rejected",IF(AB529&lt;&gt;"","REJECTED","ADD REASON"),IF(AND(B529&lt;&gt;"",C529&lt;&gt;"",D529&lt;&gt;"",E529&lt;&gt;"",F529&lt;&gt;"",G529&lt;&gt;"",H529&lt;&gt;"",J529&lt;&gt;"",K529&lt;&gt;"",L529&lt;&gt;"",M529&lt;&gt;"",N529&lt;&gt;"",O529&lt;&gt;"",P529&lt;&gt;"",Q529&lt;&gt;"",R529&lt;&gt;"",S529&lt;&gt;"",T529&lt;&gt;"",U529&lt;&gt;"",V529&lt;&gt;"",W529&lt;&gt;"",X529&lt;&gt;"",Y529&lt;&gt;"",AC529="UNIQUE"),"READY","CHECK")))</f>
        <v/>
      </c>
    </row>
    <row r="530">
      <c r="A530" s="25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37" t="n"/>
      <c r="K530" s="34" t="n"/>
      <c r="L530" s="26" t="n"/>
      <c r="M530" s="37" t="n"/>
      <c r="N530" s="37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34" t="n"/>
      <c r="Y530" s="26" t="n"/>
      <c r="Z530" s="26" t="n"/>
      <c r="AA530" s="26" t="n"/>
      <c r="AB530" s="27" t="n"/>
      <c r="AC530" s="32">
        <f>IF(A530="","",IF(COUNTIF($H$5:$H$1004,H530)&gt;1,"DUPLICATE","UNIQUE"))</f>
        <v/>
      </c>
      <c r="AD530" s="32">
        <f>IF(A530="","",IF(AA530="Rejected",IF(AB530&lt;&gt;"","REJECTED","ADD REASON"),IF(AND(B530&lt;&gt;"",C530&lt;&gt;"",D530&lt;&gt;"",E530&lt;&gt;"",F530&lt;&gt;"",G530&lt;&gt;"",H530&lt;&gt;"",J530&lt;&gt;"",K530&lt;&gt;"",L530&lt;&gt;"",M530&lt;&gt;"",N530&lt;&gt;"",O530&lt;&gt;"",P530&lt;&gt;"",Q530&lt;&gt;"",R530&lt;&gt;"",S530&lt;&gt;"",T530&lt;&gt;"",U530&lt;&gt;"",V530&lt;&gt;"",W530&lt;&gt;"",X530&lt;&gt;"",Y530&lt;&gt;"",AC530="UNIQUE"),"READY","CHECK")))</f>
        <v/>
      </c>
    </row>
    <row r="531">
      <c r="A531" s="25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37" t="n"/>
      <c r="K531" s="34" t="n"/>
      <c r="L531" s="26" t="n"/>
      <c r="M531" s="37" t="n"/>
      <c r="N531" s="37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34" t="n"/>
      <c r="Y531" s="26" t="n"/>
      <c r="Z531" s="26" t="n"/>
      <c r="AA531" s="26" t="n"/>
      <c r="AB531" s="27" t="n"/>
      <c r="AC531" s="32">
        <f>IF(A531="","",IF(COUNTIF($H$5:$H$1004,H531)&gt;1,"DUPLICATE","UNIQUE"))</f>
        <v/>
      </c>
      <c r="AD531" s="32">
        <f>IF(A531="","",IF(AA531="Rejected",IF(AB531&lt;&gt;"","REJECTED","ADD REASON"),IF(AND(B531&lt;&gt;"",C531&lt;&gt;"",D531&lt;&gt;"",E531&lt;&gt;"",F531&lt;&gt;"",G531&lt;&gt;"",H531&lt;&gt;"",J531&lt;&gt;"",K531&lt;&gt;"",L531&lt;&gt;"",M531&lt;&gt;"",N531&lt;&gt;"",O531&lt;&gt;"",P531&lt;&gt;"",Q531&lt;&gt;"",R531&lt;&gt;"",S531&lt;&gt;"",T531&lt;&gt;"",U531&lt;&gt;"",V531&lt;&gt;"",W531&lt;&gt;"",X531&lt;&gt;"",Y531&lt;&gt;"",AC531="UNIQUE"),"READY","CHECK")))</f>
        <v/>
      </c>
    </row>
    <row r="532">
      <c r="A532" s="25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37" t="n"/>
      <c r="K532" s="34" t="n"/>
      <c r="L532" s="26" t="n"/>
      <c r="M532" s="37" t="n"/>
      <c r="N532" s="37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34" t="n"/>
      <c r="Y532" s="26" t="n"/>
      <c r="Z532" s="26" t="n"/>
      <c r="AA532" s="26" t="n"/>
      <c r="AB532" s="27" t="n"/>
      <c r="AC532" s="32">
        <f>IF(A532="","",IF(COUNTIF($H$5:$H$1004,H532)&gt;1,"DUPLICATE","UNIQUE"))</f>
        <v/>
      </c>
      <c r="AD532" s="32">
        <f>IF(A532="","",IF(AA532="Rejected",IF(AB532&lt;&gt;"","REJECTED","ADD REASON"),IF(AND(B532&lt;&gt;"",C532&lt;&gt;"",D532&lt;&gt;"",E532&lt;&gt;"",F532&lt;&gt;"",G532&lt;&gt;"",H532&lt;&gt;"",J532&lt;&gt;"",K532&lt;&gt;"",L532&lt;&gt;"",M532&lt;&gt;"",N532&lt;&gt;"",O532&lt;&gt;"",P532&lt;&gt;"",Q532&lt;&gt;"",R532&lt;&gt;"",S532&lt;&gt;"",T532&lt;&gt;"",U532&lt;&gt;"",V532&lt;&gt;"",W532&lt;&gt;"",X532&lt;&gt;"",Y532&lt;&gt;"",AC532="UNIQUE"),"READY","CHECK")))</f>
        <v/>
      </c>
    </row>
    <row r="533">
      <c r="A533" s="25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37" t="n"/>
      <c r="K533" s="34" t="n"/>
      <c r="L533" s="26" t="n"/>
      <c r="M533" s="37" t="n"/>
      <c r="N533" s="37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34" t="n"/>
      <c r="Y533" s="26" t="n"/>
      <c r="Z533" s="26" t="n"/>
      <c r="AA533" s="26" t="n"/>
      <c r="AB533" s="27" t="n"/>
      <c r="AC533" s="32">
        <f>IF(A533="","",IF(COUNTIF($H$5:$H$1004,H533)&gt;1,"DUPLICATE","UNIQUE"))</f>
        <v/>
      </c>
      <c r="AD533" s="32">
        <f>IF(A533="","",IF(AA533="Rejected",IF(AB533&lt;&gt;"","REJECTED","ADD REASON"),IF(AND(B533&lt;&gt;"",C533&lt;&gt;"",D533&lt;&gt;"",E533&lt;&gt;"",F533&lt;&gt;"",G533&lt;&gt;"",H533&lt;&gt;"",J533&lt;&gt;"",K533&lt;&gt;"",L533&lt;&gt;"",M533&lt;&gt;"",N533&lt;&gt;"",O533&lt;&gt;"",P533&lt;&gt;"",Q533&lt;&gt;"",R533&lt;&gt;"",S533&lt;&gt;"",T533&lt;&gt;"",U533&lt;&gt;"",V533&lt;&gt;"",W533&lt;&gt;"",X533&lt;&gt;"",Y533&lt;&gt;"",AC533="UNIQUE"),"READY","CHECK")))</f>
        <v/>
      </c>
    </row>
    <row r="534">
      <c r="A534" s="25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37" t="n"/>
      <c r="K534" s="34" t="n"/>
      <c r="L534" s="26" t="n"/>
      <c r="M534" s="37" t="n"/>
      <c r="N534" s="37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34" t="n"/>
      <c r="Y534" s="26" t="n"/>
      <c r="Z534" s="26" t="n"/>
      <c r="AA534" s="26" t="n"/>
      <c r="AB534" s="27" t="n"/>
      <c r="AC534" s="32">
        <f>IF(A534="","",IF(COUNTIF($H$5:$H$1004,H534)&gt;1,"DUPLICATE","UNIQUE"))</f>
        <v/>
      </c>
      <c r="AD534" s="32">
        <f>IF(A534="","",IF(AA534="Rejected",IF(AB534&lt;&gt;"","REJECTED","ADD REASON"),IF(AND(B534&lt;&gt;"",C534&lt;&gt;"",D534&lt;&gt;"",E534&lt;&gt;"",F534&lt;&gt;"",G534&lt;&gt;"",H534&lt;&gt;"",J534&lt;&gt;"",K534&lt;&gt;"",L534&lt;&gt;"",M534&lt;&gt;"",N534&lt;&gt;"",O534&lt;&gt;"",P534&lt;&gt;"",Q534&lt;&gt;"",R534&lt;&gt;"",S534&lt;&gt;"",T534&lt;&gt;"",U534&lt;&gt;"",V534&lt;&gt;"",W534&lt;&gt;"",X534&lt;&gt;"",Y534&lt;&gt;"",AC534="UNIQUE"),"READY","CHECK")))</f>
        <v/>
      </c>
    </row>
    <row r="535">
      <c r="A535" s="25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37" t="n"/>
      <c r="K535" s="34" t="n"/>
      <c r="L535" s="26" t="n"/>
      <c r="M535" s="37" t="n"/>
      <c r="N535" s="37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34" t="n"/>
      <c r="Y535" s="26" t="n"/>
      <c r="Z535" s="26" t="n"/>
      <c r="AA535" s="26" t="n"/>
      <c r="AB535" s="27" t="n"/>
      <c r="AC535" s="32">
        <f>IF(A535="","",IF(COUNTIF($H$5:$H$1004,H535)&gt;1,"DUPLICATE","UNIQUE"))</f>
        <v/>
      </c>
      <c r="AD535" s="32">
        <f>IF(A535="","",IF(AA535="Rejected",IF(AB535&lt;&gt;"","REJECTED","ADD REASON"),IF(AND(B535&lt;&gt;"",C535&lt;&gt;"",D535&lt;&gt;"",E535&lt;&gt;"",F535&lt;&gt;"",G535&lt;&gt;"",H535&lt;&gt;"",J535&lt;&gt;"",K535&lt;&gt;"",L535&lt;&gt;"",M535&lt;&gt;"",N535&lt;&gt;"",O535&lt;&gt;"",P535&lt;&gt;"",Q535&lt;&gt;"",R535&lt;&gt;"",S535&lt;&gt;"",T535&lt;&gt;"",U535&lt;&gt;"",V535&lt;&gt;"",W535&lt;&gt;"",X535&lt;&gt;"",Y535&lt;&gt;"",AC535="UNIQUE"),"READY","CHECK")))</f>
        <v/>
      </c>
    </row>
    <row r="536">
      <c r="A536" s="25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37" t="n"/>
      <c r="K536" s="34" t="n"/>
      <c r="L536" s="26" t="n"/>
      <c r="M536" s="37" t="n"/>
      <c r="N536" s="37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34" t="n"/>
      <c r="Y536" s="26" t="n"/>
      <c r="Z536" s="26" t="n"/>
      <c r="AA536" s="26" t="n"/>
      <c r="AB536" s="27" t="n"/>
      <c r="AC536" s="32">
        <f>IF(A536="","",IF(COUNTIF($H$5:$H$1004,H536)&gt;1,"DUPLICATE","UNIQUE"))</f>
        <v/>
      </c>
      <c r="AD536" s="32">
        <f>IF(A536="","",IF(AA536="Rejected",IF(AB536&lt;&gt;"","REJECTED","ADD REASON"),IF(AND(B536&lt;&gt;"",C536&lt;&gt;"",D536&lt;&gt;"",E536&lt;&gt;"",F536&lt;&gt;"",G536&lt;&gt;"",H536&lt;&gt;"",J536&lt;&gt;"",K536&lt;&gt;"",L536&lt;&gt;"",M536&lt;&gt;"",N536&lt;&gt;"",O536&lt;&gt;"",P536&lt;&gt;"",Q536&lt;&gt;"",R536&lt;&gt;"",S536&lt;&gt;"",T536&lt;&gt;"",U536&lt;&gt;"",V536&lt;&gt;"",W536&lt;&gt;"",X536&lt;&gt;"",Y536&lt;&gt;"",AC536="UNIQUE"),"READY","CHECK")))</f>
        <v/>
      </c>
    </row>
    <row r="537">
      <c r="A537" s="25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37" t="n"/>
      <c r="K537" s="34" t="n"/>
      <c r="L537" s="26" t="n"/>
      <c r="M537" s="37" t="n"/>
      <c r="N537" s="37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34" t="n"/>
      <c r="Y537" s="26" t="n"/>
      <c r="Z537" s="26" t="n"/>
      <c r="AA537" s="26" t="n"/>
      <c r="AB537" s="27" t="n"/>
      <c r="AC537" s="32">
        <f>IF(A537="","",IF(COUNTIF($H$5:$H$1004,H537)&gt;1,"DUPLICATE","UNIQUE"))</f>
        <v/>
      </c>
      <c r="AD537" s="32">
        <f>IF(A537="","",IF(AA537="Rejected",IF(AB537&lt;&gt;"","REJECTED","ADD REASON"),IF(AND(B537&lt;&gt;"",C537&lt;&gt;"",D537&lt;&gt;"",E537&lt;&gt;"",F537&lt;&gt;"",G537&lt;&gt;"",H537&lt;&gt;"",J537&lt;&gt;"",K537&lt;&gt;"",L537&lt;&gt;"",M537&lt;&gt;"",N537&lt;&gt;"",O537&lt;&gt;"",P537&lt;&gt;"",Q537&lt;&gt;"",R537&lt;&gt;"",S537&lt;&gt;"",T537&lt;&gt;"",U537&lt;&gt;"",V537&lt;&gt;"",W537&lt;&gt;"",X537&lt;&gt;"",Y537&lt;&gt;"",AC537="UNIQUE"),"READY","CHECK")))</f>
        <v/>
      </c>
    </row>
    <row r="538">
      <c r="A538" s="25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37" t="n"/>
      <c r="K538" s="34" t="n"/>
      <c r="L538" s="26" t="n"/>
      <c r="M538" s="37" t="n"/>
      <c r="N538" s="37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34" t="n"/>
      <c r="Y538" s="26" t="n"/>
      <c r="Z538" s="26" t="n"/>
      <c r="AA538" s="26" t="n"/>
      <c r="AB538" s="27" t="n"/>
      <c r="AC538" s="32">
        <f>IF(A538="","",IF(COUNTIF($H$5:$H$1004,H538)&gt;1,"DUPLICATE","UNIQUE"))</f>
        <v/>
      </c>
      <c r="AD538" s="32">
        <f>IF(A538="","",IF(AA538="Rejected",IF(AB538&lt;&gt;"","REJECTED","ADD REASON"),IF(AND(B538&lt;&gt;"",C538&lt;&gt;"",D538&lt;&gt;"",E538&lt;&gt;"",F538&lt;&gt;"",G538&lt;&gt;"",H538&lt;&gt;"",J538&lt;&gt;"",K538&lt;&gt;"",L538&lt;&gt;"",M538&lt;&gt;"",N538&lt;&gt;"",O538&lt;&gt;"",P538&lt;&gt;"",Q538&lt;&gt;"",R538&lt;&gt;"",S538&lt;&gt;"",T538&lt;&gt;"",U538&lt;&gt;"",V538&lt;&gt;"",W538&lt;&gt;"",X538&lt;&gt;"",Y538&lt;&gt;"",AC538="UNIQUE"),"READY","CHECK")))</f>
        <v/>
      </c>
    </row>
    <row r="539">
      <c r="A539" s="25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37" t="n"/>
      <c r="K539" s="34" t="n"/>
      <c r="L539" s="26" t="n"/>
      <c r="M539" s="37" t="n"/>
      <c r="N539" s="37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34" t="n"/>
      <c r="Y539" s="26" t="n"/>
      <c r="Z539" s="26" t="n"/>
      <c r="AA539" s="26" t="n"/>
      <c r="AB539" s="27" t="n"/>
      <c r="AC539" s="32">
        <f>IF(A539="","",IF(COUNTIF($H$5:$H$1004,H539)&gt;1,"DUPLICATE","UNIQUE"))</f>
        <v/>
      </c>
      <c r="AD539" s="32">
        <f>IF(A539="","",IF(AA539="Rejected",IF(AB539&lt;&gt;"","REJECTED","ADD REASON"),IF(AND(B539&lt;&gt;"",C539&lt;&gt;"",D539&lt;&gt;"",E539&lt;&gt;"",F539&lt;&gt;"",G539&lt;&gt;"",H539&lt;&gt;"",J539&lt;&gt;"",K539&lt;&gt;"",L539&lt;&gt;"",M539&lt;&gt;"",N539&lt;&gt;"",O539&lt;&gt;"",P539&lt;&gt;"",Q539&lt;&gt;"",R539&lt;&gt;"",S539&lt;&gt;"",T539&lt;&gt;"",U539&lt;&gt;"",V539&lt;&gt;"",W539&lt;&gt;"",X539&lt;&gt;"",Y539&lt;&gt;"",AC539="UNIQUE"),"READY","CHECK")))</f>
        <v/>
      </c>
    </row>
    <row r="540">
      <c r="A540" s="25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37" t="n"/>
      <c r="K540" s="34" t="n"/>
      <c r="L540" s="26" t="n"/>
      <c r="M540" s="37" t="n"/>
      <c r="N540" s="37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34" t="n"/>
      <c r="Y540" s="26" t="n"/>
      <c r="Z540" s="26" t="n"/>
      <c r="AA540" s="26" t="n"/>
      <c r="AB540" s="27" t="n"/>
      <c r="AC540" s="32">
        <f>IF(A540="","",IF(COUNTIF($H$5:$H$1004,H540)&gt;1,"DUPLICATE","UNIQUE"))</f>
        <v/>
      </c>
      <c r="AD540" s="32">
        <f>IF(A540="","",IF(AA540="Rejected",IF(AB540&lt;&gt;"","REJECTED","ADD REASON"),IF(AND(B540&lt;&gt;"",C540&lt;&gt;"",D540&lt;&gt;"",E540&lt;&gt;"",F540&lt;&gt;"",G540&lt;&gt;"",H540&lt;&gt;"",J540&lt;&gt;"",K540&lt;&gt;"",L540&lt;&gt;"",M540&lt;&gt;"",N540&lt;&gt;"",O540&lt;&gt;"",P540&lt;&gt;"",Q540&lt;&gt;"",R540&lt;&gt;"",S540&lt;&gt;"",T540&lt;&gt;"",U540&lt;&gt;"",V540&lt;&gt;"",W540&lt;&gt;"",X540&lt;&gt;"",Y540&lt;&gt;"",AC540="UNIQUE"),"READY","CHECK")))</f>
        <v/>
      </c>
    </row>
    <row r="541">
      <c r="A541" s="25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37" t="n"/>
      <c r="K541" s="34" t="n"/>
      <c r="L541" s="26" t="n"/>
      <c r="M541" s="37" t="n"/>
      <c r="N541" s="37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34" t="n"/>
      <c r="Y541" s="26" t="n"/>
      <c r="Z541" s="26" t="n"/>
      <c r="AA541" s="26" t="n"/>
      <c r="AB541" s="27" t="n"/>
      <c r="AC541" s="32">
        <f>IF(A541="","",IF(COUNTIF($H$5:$H$1004,H541)&gt;1,"DUPLICATE","UNIQUE"))</f>
        <v/>
      </c>
      <c r="AD541" s="32">
        <f>IF(A541="","",IF(AA541="Rejected",IF(AB541&lt;&gt;"","REJECTED","ADD REASON"),IF(AND(B541&lt;&gt;"",C541&lt;&gt;"",D541&lt;&gt;"",E541&lt;&gt;"",F541&lt;&gt;"",G541&lt;&gt;"",H541&lt;&gt;"",J541&lt;&gt;"",K541&lt;&gt;"",L541&lt;&gt;"",M541&lt;&gt;"",N541&lt;&gt;"",O541&lt;&gt;"",P541&lt;&gt;"",Q541&lt;&gt;"",R541&lt;&gt;"",S541&lt;&gt;"",T541&lt;&gt;"",U541&lt;&gt;"",V541&lt;&gt;"",W541&lt;&gt;"",X541&lt;&gt;"",Y541&lt;&gt;"",AC541="UNIQUE"),"READY","CHECK")))</f>
        <v/>
      </c>
    </row>
    <row r="542">
      <c r="A542" s="25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37" t="n"/>
      <c r="K542" s="34" t="n"/>
      <c r="L542" s="26" t="n"/>
      <c r="M542" s="37" t="n"/>
      <c r="N542" s="37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34" t="n"/>
      <c r="Y542" s="26" t="n"/>
      <c r="Z542" s="26" t="n"/>
      <c r="AA542" s="26" t="n"/>
      <c r="AB542" s="27" t="n"/>
      <c r="AC542" s="32">
        <f>IF(A542="","",IF(COUNTIF($H$5:$H$1004,H542)&gt;1,"DUPLICATE","UNIQUE"))</f>
        <v/>
      </c>
      <c r="AD542" s="32">
        <f>IF(A542="","",IF(AA542="Rejected",IF(AB542&lt;&gt;"","REJECTED","ADD REASON"),IF(AND(B542&lt;&gt;"",C542&lt;&gt;"",D542&lt;&gt;"",E542&lt;&gt;"",F542&lt;&gt;"",G542&lt;&gt;"",H542&lt;&gt;"",J542&lt;&gt;"",K542&lt;&gt;"",L542&lt;&gt;"",M542&lt;&gt;"",N542&lt;&gt;"",O542&lt;&gt;"",P542&lt;&gt;"",Q542&lt;&gt;"",R542&lt;&gt;"",S542&lt;&gt;"",T542&lt;&gt;"",U542&lt;&gt;"",V542&lt;&gt;"",W542&lt;&gt;"",X542&lt;&gt;"",Y542&lt;&gt;"",AC542="UNIQUE"),"READY","CHECK")))</f>
        <v/>
      </c>
    </row>
    <row r="543">
      <c r="A543" s="25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37" t="n"/>
      <c r="K543" s="34" t="n"/>
      <c r="L543" s="26" t="n"/>
      <c r="M543" s="37" t="n"/>
      <c r="N543" s="37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34" t="n"/>
      <c r="Y543" s="26" t="n"/>
      <c r="Z543" s="26" t="n"/>
      <c r="AA543" s="26" t="n"/>
      <c r="AB543" s="27" t="n"/>
      <c r="AC543" s="32">
        <f>IF(A543="","",IF(COUNTIF($H$5:$H$1004,H543)&gt;1,"DUPLICATE","UNIQUE"))</f>
        <v/>
      </c>
      <c r="AD543" s="32">
        <f>IF(A543="","",IF(AA543="Rejected",IF(AB543&lt;&gt;"","REJECTED","ADD REASON"),IF(AND(B543&lt;&gt;"",C543&lt;&gt;"",D543&lt;&gt;"",E543&lt;&gt;"",F543&lt;&gt;"",G543&lt;&gt;"",H543&lt;&gt;"",J543&lt;&gt;"",K543&lt;&gt;"",L543&lt;&gt;"",M543&lt;&gt;"",N543&lt;&gt;"",O543&lt;&gt;"",P543&lt;&gt;"",Q543&lt;&gt;"",R543&lt;&gt;"",S543&lt;&gt;"",T543&lt;&gt;"",U543&lt;&gt;"",V543&lt;&gt;"",W543&lt;&gt;"",X543&lt;&gt;"",Y543&lt;&gt;"",AC543="UNIQUE"),"READY","CHECK")))</f>
        <v/>
      </c>
    </row>
    <row r="544">
      <c r="A544" s="25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37" t="n"/>
      <c r="K544" s="34" t="n"/>
      <c r="L544" s="26" t="n"/>
      <c r="M544" s="37" t="n"/>
      <c r="N544" s="37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34" t="n"/>
      <c r="Y544" s="26" t="n"/>
      <c r="Z544" s="26" t="n"/>
      <c r="AA544" s="26" t="n"/>
      <c r="AB544" s="27" t="n"/>
      <c r="AC544" s="32">
        <f>IF(A544="","",IF(COUNTIF($H$5:$H$1004,H544)&gt;1,"DUPLICATE","UNIQUE"))</f>
        <v/>
      </c>
      <c r="AD544" s="32">
        <f>IF(A544="","",IF(AA544="Rejected",IF(AB544&lt;&gt;"","REJECTED","ADD REASON"),IF(AND(B544&lt;&gt;"",C544&lt;&gt;"",D544&lt;&gt;"",E544&lt;&gt;"",F544&lt;&gt;"",G544&lt;&gt;"",H544&lt;&gt;"",J544&lt;&gt;"",K544&lt;&gt;"",L544&lt;&gt;"",M544&lt;&gt;"",N544&lt;&gt;"",O544&lt;&gt;"",P544&lt;&gt;"",Q544&lt;&gt;"",R544&lt;&gt;"",S544&lt;&gt;"",T544&lt;&gt;"",U544&lt;&gt;"",V544&lt;&gt;"",W544&lt;&gt;"",X544&lt;&gt;"",Y544&lt;&gt;"",AC544="UNIQUE"),"READY","CHECK")))</f>
        <v/>
      </c>
    </row>
    <row r="545">
      <c r="A545" s="25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37" t="n"/>
      <c r="K545" s="34" t="n"/>
      <c r="L545" s="26" t="n"/>
      <c r="M545" s="37" t="n"/>
      <c r="N545" s="37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34" t="n"/>
      <c r="Y545" s="26" t="n"/>
      <c r="Z545" s="26" t="n"/>
      <c r="AA545" s="26" t="n"/>
      <c r="AB545" s="27" t="n"/>
      <c r="AC545" s="32">
        <f>IF(A545="","",IF(COUNTIF($H$5:$H$1004,H545)&gt;1,"DUPLICATE","UNIQUE"))</f>
        <v/>
      </c>
      <c r="AD545" s="32">
        <f>IF(A545="","",IF(AA545="Rejected",IF(AB545&lt;&gt;"","REJECTED","ADD REASON"),IF(AND(B545&lt;&gt;"",C545&lt;&gt;"",D545&lt;&gt;"",E545&lt;&gt;"",F545&lt;&gt;"",G545&lt;&gt;"",H545&lt;&gt;"",J545&lt;&gt;"",K545&lt;&gt;"",L545&lt;&gt;"",M545&lt;&gt;"",N545&lt;&gt;"",O545&lt;&gt;"",P545&lt;&gt;"",Q545&lt;&gt;"",R545&lt;&gt;"",S545&lt;&gt;"",T545&lt;&gt;"",U545&lt;&gt;"",V545&lt;&gt;"",W545&lt;&gt;"",X545&lt;&gt;"",Y545&lt;&gt;"",AC545="UNIQUE"),"READY","CHECK")))</f>
        <v/>
      </c>
    </row>
    <row r="546">
      <c r="A546" s="25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37" t="n"/>
      <c r="K546" s="34" t="n"/>
      <c r="L546" s="26" t="n"/>
      <c r="M546" s="37" t="n"/>
      <c r="N546" s="37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34" t="n"/>
      <c r="Y546" s="26" t="n"/>
      <c r="Z546" s="26" t="n"/>
      <c r="AA546" s="26" t="n"/>
      <c r="AB546" s="27" t="n"/>
      <c r="AC546" s="32">
        <f>IF(A546="","",IF(COUNTIF($H$5:$H$1004,H546)&gt;1,"DUPLICATE","UNIQUE"))</f>
        <v/>
      </c>
      <c r="AD546" s="32">
        <f>IF(A546="","",IF(AA546="Rejected",IF(AB546&lt;&gt;"","REJECTED","ADD REASON"),IF(AND(B546&lt;&gt;"",C546&lt;&gt;"",D546&lt;&gt;"",E546&lt;&gt;"",F546&lt;&gt;"",G546&lt;&gt;"",H546&lt;&gt;"",J546&lt;&gt;"",K546&lt;&gt;"",L546&lt;&gt;"",M546&lt;&gt;"",N546&lt;&gt;"",O546&lt;&gt;"",P546&lt;&gt;"",Q546&lt;&gt;"",R546&lt;&gt;"",S546&lt;&gt;"",T546&lt;&gt;"",U546&lt;&gt;"",V546&lt;&gt;"",W546&lt;&gt;"",X546&lt;&gt;"",Y546&lt;&gt;"",AC546="UNIQUE"),"READY","CHECK")))</f>
        <v/>
      </c>
    </row>
    <row r="547">
      <c r="A547" s="25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37" t="n"/>
      <c r="K547" s="34" t="n"/>
      <c r="L547" s="26" t="n"/>
      <c r="M547" s="37" t="n"/>
      <c r="N547" s="37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34" t="n"/>
      <c r="Y547" s="26" t="n"/>
      <c r="Z547" s="26" t="n"/>
      <c r="AA547" s="26" t="n"/>
      <c r="AB547" s="27" t="n"/>
      <c r="AC547" s="32">
        <f>IF(A547="","",IF(COUNTIF($H$5:$H$1004,H547)&gt;1,"DUPLICATE","UNIQUE"))</f>
        <v/>
      </c>
      <c r="AD547" s="32">
        <f>IF(A547="","",IF(AA547="Rejected",IF(AB547&lt;&gt;"","REJECTED","ADD REASON"),IF(AND(B547&lt;&gt;"",C547&lt;&gt;"",D547&lt;&gt;"",E547&lt;&gt;"",F547&lt;&gt;"",G547&lt;&gt;"",H547&lt;&gt;"",J547&lt;&gt;"",K547&lt;&gt;"",L547&lt;&gt;"",M547&lt;&gt;"",N547&lt;&gt;"",O547&lt;&gt;"",P547&lt;&gt;"",Q547&lt;&gt;"",R547&lt;&gt;"",S547&lt;&gt;"",T547&lt;&gt;"",U547&lt;&gt;"",V547&lt;&gt;"",W547&lt;&gt;"",X547&lt;&gt;"",Y547&lt;&gt;"",AC547="UNIQUE"),"READY","CHECK")))</f>
        <v/>
      </c>
    </row>
    <row r="548">
      <c r="A548" s="25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37" t="n"/>
      <c r="K548" s="34" t="n"/>
      <c r="L548" s="26" t="n"/>
      <c r="M548" s="37" t="n"/>
      <c r="N548" s="37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34" t="n"/>
      <c r="Y548" s="26" t="n"/>
      <c r="Z548" s="26" t="n"/>
      <c r="AA548" s="26" t="n"/>
      <c r="AB548" s="27" t="n"/>
      <c r="AC548" s="32">
        <f>IF(A548="","",IF(COUNTIF($H$5:$H$1004,H548)&gt;1,"DUPLICATE","UNIQUE"))</f>
        <v/>
      </c>
      <c r="AD548" s="32">
        <f>IF(A548="","",IF(AA548="Rejected",IF(AB548&lt;&gt;"","REJECTED","ADD REASON"),IF(AND(B548&lt;&gt;"",C548&lt;&gt;"",D548&lt;&gt;"",E548&lt;&gt;"",F548&lt;&gt;"",G548&lt;&gt;"",H548&lt;&gt;"",J548&lt;&gt;"",K548&lt;&gt;"",L548&lt;&gt;"",M548&lt;&gt;"",N548&lt;&gt;"",O548&lt;&gt;"",P548&lt;&gt;"",Q548&lt;&gt;"",R548&lt;&gt;"",S548&lt;&gt;"",T548&lt;&gt;"",U548&lt;&gt;"",V548&lt;&gt;"",W548&lt;&gt;"",X548&lt;&gt;"",Y548&lt;&gt;"",AC548="UNIQUE"),"READY","CHECK")))</f>
        <v/>
      </c>
    </row>
    <row r="549">
      <c r="A549" s="25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37" t="n"/>
      <c r="K549" s="34" t="n"/>
      <c r="L549" s="26" t="n"/>
      <c r="M549" s="37" t="n"/>
      <c r="N549" s="37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34" t="n"/>
      <c r="Y549" s="26" t="n"/>
      <c r="Z549" s="26" t="n"/>
      <c r="AA549" s="26" t="n"/>
      <c r="AB549" s="27" t="n"/>
      <c r="AC549" s="32">
        <f>IF(A549="","",IF(COUNTIF($H$5:$H$1004,H549)&gt;1,"DUPLICATE","UNIQUE"))</f>
        <v/>
      </c>
      <c r="AD549" s="32">
        <f>IF(A549="","",IF(AA549="Rejected",IF(AB549&lt;&gt;"","REJECTED","ADD REASON"),IF(AND(B549&lt;&gt;"",C549&lt;&gt;"",D549&lt;&gt;"",E549&lt;&gt;"",F549&lt;&gt;"",G549&lt;&gt;"",H549&lt;&gt;"",J549&lt;&gt;"",K549&lt;&gt;"",L549&lt;&gt;"",M549&lt;&gt;"",N549&lt;&gt;"",O549&lt;&gt;"",P549&lt;&gt;"",Q549&lt;&gt;"",R549&lt;&gt;"",S549&lt;&gt;"",T549&lt;&gt;"",U549&lt;&gt;"",V549&lt;&gt;"",W549&lt;&gt;"",X549&lt;&gt;"",Y549&lt;&gt;"",AC549="UNIQUE"),"READY","CHECK")))</f>
        <v/>
      </c>
    </row>
    <row r="550">
      <c r="A550" s="25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37" t="n"/>
      <c r="K550" s="34" t="n"/>
      <c r="L550" s="26" t="n"/>
      <c r="M550" s="37" t="n"/>
      <c r="N550" s="37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34" t="n"/>
      <c r="Y550" s="26" t="n"/>
      <c r="Z550" s="26" t="n"/>
      <c r="AA550" s="26" t="n"/>
      <c r="AB550" s="27" t="n"/>
      <c r="AC550" s="32">
        <f>IF(A550="","",IF(COUNTIF($H$5:$H$1004,H550)&gt;1,"DUPLICATE","UNIQUE"))</f>
        <v/>
      </c>
      <c r="AD550" s="32">
        <f>IF(A550="","",IF(AA550="Rejected",IF(AB550&lt;&gt;"","REJECTED","ADD REASON"),IF(AND(B550&lt;&gt;"",C550&lt;&gt;"",D550&lt;&gt;"",E550&lt;&gt;"",F550&lt;&gt;"",G550&lt;&gt;"",H550&lt;&gt;"",J550&lt;&gt;"",K550&lt;&gt;"",L550&lt;&gt;"",M550&lt;&gt;"",N550&lt;&gt;"",O550&lt;&gt;"",P550&lt;&gt;"",Q550&lt;&gt;"",R550&lt;&gt;"",S550&lt;&gt;"",T550&lt;&gt;"",U550&lt;&gt;"",V550&lt;&gt;"",W550&lt;&gt;"",X550&lt;&gt;"",Y550&lt;&gt;"",AC550="UNIQUE"),"READY","CHECK")))</f>
        <v/>
      </c>
    </row>
    <row r="551">
      <c r="A551" s="25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37" t="n"/>
      <c r="K551" s="34" t="n"/>
      <c r="L551" s="26" t="n"/>
      <c r="M551" s="37" t="n"/>
      <c r="N551" s="37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34" t="n"/>
      <c r="Y551" s="26" t="n"/>
      <c r="Z551" s="26" t="n"/>
      <c r="AA551" s="26" t="n"/>
      <c r="AB551" s="27" t="n"/>
      <c r="AC551" s="32">
        <f>IF(A551="","",IF(COUNTIF($H$5:$H$1004,H551)&gt;1,"DUPLICATE","UNIQUE"))</f>
        <v/>
      </c>
      <c r="AD551" s="32">
        <f>IF(A551="","",IF(AA551="Rejected",IF(AB551&lt;&gt;"","REJECTED","ADD REASON"),IF(AND(B551&lt;&gt;"",C551&lt;&gt;"",D551&lt;&gt;"",E551&lt;&gt;"",F551&lt;&gt;"",G551&lt;&gt;"",H551&lt;&gt;"",J551&lt;&gt;"",K551&lt;&gt;"",L551&lt;&gt;"",M551&lt;&gt;"",N551&lt;&gt;"",O551&lt;&gt;"",P551&lt;&gt;"",Q551&lt;&gt;"",R551&lt;&gt;"",S551&lt;&gt;"",T551&lt;&gt;"",U551&lt;&gt;"",V551&lt;&gt;"",W551&lt;&gt;"",X551&lt;&gt;"",Y551&lt;&gt;"",AC551="UNIQUE"),"READY","CHECK")))</f>
        <v/>
      </c>
    </row>
    <row r="552">
      <c r="A552" s="25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37" t="n"/>
      <c r="K552" s="34" t="n"/>
      <c r="L552" s="26" t="n"/>
      <c r="M552" s="37" t="n"/>
      <c r="N552" s="37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34" t="n"/>
      <c r="Y552" s="26" t="n"/>
      <c r="Z552" s="26" t="n"/>
      <c r="AA552" s="26" t="n"/>
      <c r="AB552" s="27" t="n"/>
      <c r="AC552" s="32">
        <f>IF(A552="","",IF(COUNTIF($H$5:$H$1004,H552)&gt;1,"DUPLICATE","UNIQUE"))</f>
        <v/>
      </c>
      <c r="AD552" s="32">
        <f>IF(A552="","",IF(AA552="Rejected",IF(AB552&lt;&gt;"","REJECTED","ADD REASON"),IF(AND(B552&lt;&gt;"",C552&lt;&gt;"",D552&lt;&gt;"",E552&lt;&gt;"",F552&lt;&gt;"",G552&lt;&gt;"",H552&lt;&gt;"",J552&lt;&gt;"",K552&lt;&gt;"",L552&lt;&gt;"",M552&lt;&gt;"",N552&lt;&gt;"",O552&lt;&gt;"",P552&lt;&gt;"",Q552&lt;&gt;"",R552&lt;&gt;"",S552&lt;&gt;"",T552&lt;&gt;"",U552&lt;&gt;"",V552&lt;&gt;"",W552&lt;&gt;"",X552&lt;&gt;"",Y552&lt;&gt;"",AC552="UNIQUE"),"READY","CHECK")))</f>
        <v/>
      </c>
    </row>
    <row r="553">
      <c r="A553" s="25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37" t="n"/>
      <c r="K553" s="34" t="n"/>
      <c r="L553" s="26" t="n"/>
      <c r="M553" s="37" t="n"/>
      <c r="N553" s="37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34" t="n"/>
      <c r="Y553" s="26" t="n"/>
      <c r="Z553" s="26" t="n"/>
      <c r="AA553" s="26" t="n"/>
      <c r="AB553" s="27" t="n"/>
      <c r="AC553" s="32">
        <f>IF(A553="","",IF(COUNTIF($H$5:$H$1004,H553)&gt;1,"DUPLICATE","UNIQUE"))</f>
        <v/>
      </c>
      <c r="AD553" s="32">
        <f>IF(A553="","",IF(AA553="Rejected",IF(AB553&lt;&gt;"","REJECTED","ADD REASON"),IF(AND(B553&lt;&gt;"",C553&lt;&gt;"",D553&lt;&gt;"",E553&lt;&gt;"",F553&lt;&gt;"",G553&lt;&gt;"",H553&lt;&gt;"",J553&lt;&gt;"",K553&lt;&gt;"",L553&lt;&gt;"",M553&lt;&gt;"",N553&lt;&gt;"",O553&lt;&gt;"",P553&lt;&gt;"",Q553&lt;&gt;"",R553&lt;&gt;"",S553&lt;&gt;"",T553&lt;&gt;"",U553&lt;&gt;"",V553&lt;&gt;"",W553&lt;&gt;"",X553&lt;&gt;"",Y553&lt;&gt;"",AC553="UNIQUE"),"READY","CHECK")))</f>
        <v/>
      </c>
    </row>
    <row r="554">
      <c r="A554" s="25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37" t="n"/>
      <c r="K554" s="34" t="n"/>
      <c r="L554" s="26" t="n"/>
      <c r="M554" s="37" t="n"/>
      <c r="N554" s="37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34" t="n"/>
      <c r="Y554" s="26" t="n"/>
      <c r="Z554" s="26" t="n"/>
      <c r="AA554" s="26" t="n"/>
      <c r="AB554" s="27" t="n"/>
      <c r="AC554" s="32">
        <f>IF(A554="","",IF(COUNTIF($H$5:$H$1004,H554)&gt;1,"DUPLICATE","UNIQUE"))</f>
        <v/>
      </c>
      <c r="AD554" s="32">
        <f>IF(A554="","",IF(AA554="Rejected",IF(AB554&lt;&gt;"","REJECTED","ADD REASON"),IF(AND(B554&lt;&gt;"",C554&lt;&gt;"",D554&lt;&gt;"",E554&lt;&gt;"",F554&lt;&gt;"",G554&lt;&gt;"",H554&lt;&gt;"",J554&lt;&gt;"",K554&lt;&gt;"",L554&lt;&gt;"",M554&lt;&gt;"",N554&lt;&gt;"",O554&lt;&gt;"",P554&lt;&gt;"",Q554&lt;&gt;"",R554&lt;&gt;"",S554&lt;&gt;"",T554&lt;&gt;"",U554&lt;&gt;"",V554&lt;&gt;"",W554&lt;&gt;"",X554&lt;&gt;"",Y554&lt;&gt;"",AC554="UNIQUE"),"READY","CHECK")))</f>
        <v/>
      </c>
    </row>
    <row r="555">
      <c r="A555" s="25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37" t="n"/>
      <c r="K555" s="34" t="n"/>
      <c r="L555" s="26" t="n"/>
      <c r="M555" s="37" t="n"/>
      <c r="N555" s="37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34" t="n"/>
      <c r="Y555" s="26" t="n"/>
      <c r="Z555" s="26" t="n"/>
      <c r="AA555" s="26" t="n"/>
      <c r="AB555" s="27" t="n"/>
      <c r="AC555" s="32">
        <f>IF(A555="","",IF(COUNTIF($H$5:$H$1004,H555)&gt;1,"DUPLICATE","UNIQUE"))</f>
        <v/>
      </c>
      <c r="AD555" s="32">
        <f>IF(A555="","",IF(AA555="Rejected",IF(AB555&lt;&gt;"","REJECTED","ADD REASON"),IF(AND(B555&lt;&gt;"",C555&lt;&gt;"",D555&lt;&gt;"",E555&lt;&gt;"",F555&lt;&gt;"",G555&lt;&gt;"",H555&lt;&gt;"",J555&lt;&gt;"",K555&lt;&gt;"",L555&lt;&gt;"",M555&lt;&gt;"",N555&lt;&gt;"",O555&lt;&gt;"",P555&lt;&gt;"",Q555&lt;&gt;"",R555&lt;&gt;"",S555&lt;&gt;"",T555&lt;&gt;"",U555&lt;&gt;"",V555&lt;&gt;"",W555&lt;&gt;"",X555&lt;&gt;"",Y555&lt;&gt;"",AC555="UNIQUE"),"READY","CHECK")))</f>
        <v/>
      </c>
    </row>
    <row r="556">
      <c r="A556" s="25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37" t="n"/>
      <c r="K556" s="34" t="n"/>
      <c r="L556" s="26" t="n"/>
      <c r="M556" s="37" t="n"/>
      <c r="N556" s="37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34" t="n"/>
      <c r="Y556" s="26" t="n"/>
      <c r="Z556" s="26" t="n"/>
      <c r="AA556" s="26" t="n"/>
      <c r="AB556" s="27" t="n"/>
      <c r="AC556" s="32">
        <f>IF(A556="","",IF(COUNTIF($H$5:$H$1004,H556)&gt;1,"DUPLICATE","UNIQUE"))</f>
        <v/>
      </c>
      <c r="AD556" s="32">
        <f>IF(A556="","",IF(AA556="Rejected",IF(AB556&lt;&gt;"","REJECTED","ADD REASON"),IF(AND(B556&lt;&gt;"",C556&lt;&gt;"",D556&lt;&gt;"",E556&lt;&gt;"",F556&lt;&gt;"",G556&lt;&gt;"",H556&lt;&gt;"",J556&lt;&gt;"",K556&lt;&gt;"",L556&lt;&gt;"",M556&lt;&gt;"",N556&lt;&gt;"",O556&lt;&gt;"",P556&lt;&gt;"",Q556&lt;&gt;"",R556&lt;&gt;"",S556&lt;&gt;"",T556&lt;&gt;"",U556&lt;&gt;"",V556&lt;&gt;"",W556&lt;&gt;"",X556&lt;&gt;"",Y556&lt;&gt;"",AC556="UNIQUE"),"READY","CHECK")))</f>
        <v/>
      </c>
    </row>
    <row r="557">
      <c r="A557" s="25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37" t="n"/>
      <c r="K557" s="34" t="n"/>
      <c r="L557" s="26" t="n"/>
      <c r="M557" s="37" t="n"/>
      <c r="N557" s="37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34" t="n"/>
      <c r="Y557" s="26" t="n"/>
      <c r="Z557" s="26" t="n"/>
      <c r="AA557" s="26" t="n"/>
      <c r="AB557" s="27" t="n"/>
      <c r="AC557" s="32">
        <f>IF(A557="","",IF(COUNTIF($H$5:$H$1004,H557)&gt;1,"DUPLICATE","UNIQUE"))</f>
        <v/>
      </c>
      <c r="AD557" s="32">
        <f>IF(A557="","",IF(AA557="Rejected",IF(AB557&lt;&gt;"","REJECTED","ADD REASON"),IF(AND(B557&lt;&gt;"",C557&lt;&gt;"",D557&lt;&gt;"",E557&lt;&gt;"",F557&lt;&gt;"",G557&lt;&gt;"",H557&lt;&gt;"",J557&lt;&gt;"",K557&lt;&gt;"",L557&lt;&gt;"",M557&lt;&gt;"",N557&lt;&gt;"",O557&lt;&gt;"",P557&lt;&gt;"",Q557&lt;&gt;"",R557&lt;&gt;"",S557&lt;&gt;"",T557&lt;&gt;"",U557&lt;&gt;"",V557&lt;&gt;"",W557&lt;&gt;"",X557&lt;&gt;"",Y557&lt;&gt;"",AC557="UNIQUE"),"READY","CHECK")))</f>
        <v/>
      </c>
    </row>
    <row r="558">
      <c r="A558" s="25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37" t="n"/>
      <c r="K558" s="34" t="n"/>
      <c r="L558" s="26" t="n"/>
      <c r="M558" s="37" t="n"/>
      <c r="N558" s="37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34" t="n"/>
      <c r="Y558" s="26" t="n"/>
      <c r="Z558" s="26" t="n"/>
      <c r="AA558" s="26" t="n"/>
      <c r="AB558" s="27" t="n"/>
      <c r="AC558" s="32">
        <f>IF(A558="","",IF(COUNTIF($H$5:$H$1004,H558)&gt;1,"DUPLICATE","UNIQUE"))</f>
        <v/>
      </c>
      <c r="AD558" s="32">
        <f>IF(A558="","",IF(AA558="Rejected",IF(AB558&lt;&gt;"","REJECTED","ADD REASON"),IF(AND(B558&lt;&gt;"",C558&lt;&gt;"",D558&lt;&gt;"",E558&lt;&gt;"",F558&lt;&gt;"",G558&lt;&gt;"",H558&lt;&gt;"",J558&lt;&gt;"",K558&lt;&gt;"",L558&lt;&gt;"",M558&lt;&gt;"",N558&lt;&gt;"",O558&lt;&gt;"",P558&lt;&gt;"",Q558&lt;&gt;"",R558&lt;&gt;"",S558&lt;&gt;"",T558&lt;&gt;"",U558&lt;&gt;"",V558&lt;&gt;"",W558&lt;&gt;"",X558&lt;&gt;"",Y558&lt;&gt;"",AC558="UNIQUE"),"READY","CHECK")))</f>
        <v/>
      </c>
    </row>
    <row r="559">
      <c r="A559" s="25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37" t="n"/>
      <c r="K559" s="34" t="n"/>
      <c r="L559" s="26" t="n"/>
      <c r="M559" s="37" t="n"/>
      <c r="N559" s="37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34" t="n"/>
      <c r="Y559" s="26" t="n"/>
      <c r="Z559" s="26" t="n"/>
      <c r="AA559" s="26" t="n"/>
      <c r="AB559" s="27" t="n"/>
      <c r="AC559" s="32">
        <f>IF(A559="","",IF(COUNTIF($H$5:$H$1004,H559)&gt;1,"DUPLICATE","UNIQUE"))</f>
        <v/>
      </c>
      <c r="AD559" s="32">
        <f>IF(A559="","",IF(AA559="Rejected",IF(AB559&lt;&gt;"","REJECTED","ADD REASON"),IF(AND(B559&lt;&gt;"",C559&lt;&gt;"",D559&lt;&gt;"",E559&lt;&gt;"",F559&lt;&gt;"",G559&lt;&gt;"",H559&lt;&gt;"",J559&lt;&gt;"",K559&lt;&gt;"",L559&lt;&gt;"",M559&lt;&gt;"",N559&lt;&gt;"",O559&lt;&gt;"",P559&lt;&gt;"",Q559&lt;&gt;"",R559&lt;&gt;"",S559&lt;&gt;"",T559&lt;&gt;"",U559&lt;&gt;"",V559&lt;&gt;"",W559&lt;&gt;"",X559&lt;&gt;"",Y559&lt;&gt;"",AC559="UNIQUE"),"READY","CHECK")))</f>
        <v/>
      </c>
    </row>
    <row r="560">
      <c r="A560" s="25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37" t="n"/>
      <c r="K560" s="34" t="n"/>
      <c r="L560" s="26" t="n"/>
      <c r="M560" s="37" t="n"/>
      <c r="N560" s="37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34" t="n"/>
      <c r="Y560" s="26" t="n"/>
      <c r="Z560" s="26" t="n"/>
      <c r="AA560" s="26" t="n"/>
      <c r="AB560" s="27" t="n"/>
      <c r="AC560" s="32">
        <f>IF(A560="","",IF(COUNTIF($H$5:$H$1004,H560)&gt;1,"DUPLICATE","UNIQUE"))</f>
        <v/>
      </c>
      <c r="AD560" s="32">
        <f>IF(A560="","",IF(AA560="Rejected",IF(AB560&lt;&gt;"","REJECTED","ADD REASON"),IF(AND(B560&lt;&gt;"",C560&lt;&gt;"",D560&lt;&gt;"",E560&lt;&gt;"",F560&lt;&gt;"",G560&lt;&gt;"",H560&lt;&gt;"",J560&lt;&gt;"",K560&lt;&gt;"",L560&lt;&gt;"",M560&lt;&gt;"",N560&lt;&gt;"",O560&lt;&gt;"",P560&lt;&gt;"",Q560&lt;&gt;"",R560&lt;&gt;"",S560&lt;&gt;"",T560&lt;&gt;"",U560&lt;&gt;"",V560&lt;&gt;"",W560&lt;&gt;"",X560&lt;&gt;"",Y560&lt;&gt;"",AC560="UNIQUE"),"READY","CHECK")))</f>
        <v/>
      </c>
    </row>
    <row r="561">
      <c r="A561" s="25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37" t="n"/>
      <c r="K561" s="34" t="n"/>
      <c r="L561" s="26" t="n"/>
      <c r="M561" s="37" t="n"/>
      <c r="N561" s="37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34" t="n"/>
      <c r="Y561" s="26" t="n"/>
      <c r="Z561" s="26" t="n"/>
      <c r="AA561" s="26" t="n"/>
      <c r="AB561" s="27" t="n"/>
      <c r="AC561" s="32">
        <f>IF(A561="","",IF(COUNTIF($H$5:$H$1004,H561)&gt;1,"DUPLICATE","UNIQUE"))</f>
        <v/>
      </c>
      <c r="AD561" s="32">
        <f>IF(A561="","",IF(AA561="Rejected",IF(AB561&lt;&gt;"","REJECTED","ADD REASON"),IF(AND(B561&lt;&gt;"",C561&lt;&gt;"",D561&lt;&gt;"",E561&lt;&gt;"",F561&lt;&gt;"",G561&lt;&gt;"",H561&lt;&gt;"",J561&lt;&gt;"",K561&lt;&gt;"",L561&lt;&gt;"",M561&lt;&gt;"",N561&lt;&gt;"",O561&lt;&gt;"",P561&lt;&gt;"",Q561&lt;&gt;"",R561&lt;&gt;"",S561&lt;&gt;"",T561&lt;&gt;"",U561&lt;&gt;"",V561&lt;&gt;"",W561&lt;&gt;"",X561&lt;&gt;"",Y561&lt;&gt;"",AC561="UNIQUE"),"READY","CHECK")))</f>
        <v/>
      </c>
    </row>
    <row r="562">
      <c r="A562" s="25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37" t="n"/>
      <c r="K562" s="34" t="n"/>
      <c r="L562" s="26" t="n"/>
      <c r="M562" s="37" t="n"/>
      <c r="N562" s="37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34" t="n"/>
      <c r="Y562" s="26" t="n"/>
      <c r="Z562" s="26" t="n"/>
      <c r="AA562" s="26" t="n"/>
      <c r="AB562" s="27" t="n"/>
      <c r="AC562" s="32">
        <f>IF(A562="","",IF(COUNTIF($H$5:$H$1004,H562)&gt;1,"DUPLICATE","UNIQUE"))</f>
        <v/>
      </c>
      <c r="AD562" s="32">
        <f>IF(A562="","",IF(AA562="Rejected",IF(AB562&lt;&gt;"","REJECTED","ADD REASON"),IF(AND(B562&lt;&gt;"",C562&lt;&gt;"",D562&lt;&gt;"",E562&lt;&gt;"",F562&lt;&gt;"",G562&lt;&gt;"",H562&lt;&gt;"",J562&lt;&gt;"",K562&lt;&gt;"",L562&lt;&gt;"",M562&lt;&gt;"",N562&lt;&gt;"",O562&lt;&gt;"",P562&lt;&gt;"",Q562&lt;&gt;"",R562&lt;&gt;"",S562&lt;&gt;"",T562&lt;&gt;"",U562&lt;&gt;"",V562&lt;&gt;"",W562&lt;&gt;"",X562&lt;&gt;"",Y562&lt;&gt;"",AC562="UNIQUE"),"READY","CHECK")))</f>
        <v/>
      </c>
    </row>
    <row r="563">
      <c r="A563" s="25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37" t="n"/>
      <c r="K563" s="34" t="n"/>
      <c r="L563" s="26" t="n"/>
      <c r="M563" s="37" t="n"/>
      <c r="N563" s="37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34" t="n"/>
      <c r="Y563" s="26" t="n"/>
      <c r="Z563" s="26" t="n"/>
      <c r="AA563" s="26" t="n"/>
      <c r="AB563" s="27" t="n"/>
      <c r="AC563" s="32">
        <f>IF(A563="","",IF(COUNTIF($H$5:$H$1004,H563)&gt;1,"DUPLICATE","UNIQUE"))</f>
        <v/>
      </c>
      <c r="AD563" s="32">
        <f>IF(A563="","",IF(AA563="Rejected",IF(AB563&lt;&gt;"","REJECTED","ADD REASON"),IF(AND(B563&lt;&gt;"",C563&lt;&gt;"",D563&lt;&gt;"",E563&lt;&gt;"",F563&lt;&gt;"",G563&lt;&gt;"",H563&lt;&gt;"",J563&lt;&gt;"",K563&lt;&gt;"",L563&lt;&gt;"",M563&lt;&gt;"",N563&lt;&gt;"",O563&lt;&gt;"",P563&lt;&gt;"",Q563&lt;&gt;"",R563&lt;&gt;"",S563&lt;&gt;"",T563&lt;&gt;"",U563&lt;&gt;"",V563&lt;&gt;"",W563&lt;&gt;"",X563&lt;&gt;"",Y563&lt;&gt;"",AC563="UNIQUE"),"READY","CHECK")))</f>
        <v/>
      </c>
    </row>
    <row r="564">
      <c r="A564" s="25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37" t="n"/>
      <c r="K564" s="34" t="n"/>
      <c r="L564" s="26" t="n"/>
      <c r="M564" s="37" t="n"/>
      <c r="N564" s="37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34" t="n"/>
      <c r="Y564" s="26" t="n"/>
      <c r="Z564" s="26" t="n"/>
      <c r="AA564" s="26" t="n"/>
      <c r="AB564" s="27" t="n"/>
      <c r="AC564" s="32">
        <f>IF(A564="","",IF(COUNTIF($H$5:$H$1004,H564)&gt;1,"DUPLICATE","UNIQUE"))</f>
        <v/>
      </c>
      <c r="AD564" s="32">
        <f>IF(A564="","",IF(AA564="Rejected",IF(AB564&lt;&gt;"","REJECTED","ADD REASON"),IF(AND(B564&lt;&gt;"",C564&lt;&gt;"",D564&lt;&gt;"",E564&lt;&gt;"",F564&lt;&gt;"",G564&lt;&gt;"",H564&lt;&gt;"",J564&lt;&gt;"",K564&lt;&gt;"",L564&lt;&gt;"",M564&lt;&gt;"",N564&lt;&gt;"",O564&lt;&gt;"",P564&lt;&gt;"",Q564&lt;&gt;"",R564&lt;&gt;"",S564&lt;&gt;"",T564&lt;&gt;"",U564&lt;&gt;"",V564&lt;&gt;"",W564&lt;&gt;"",X564&lt;&gt;"",Y564&lt;&gt;"",AC564="UNIQUE"),"READY","CHECK")))</f>
        <v/>
      </c>
    </row>
    <row r="565">
      <c r="A565" s="25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37" t="n"/>
      <c r="K565" s="34" t="n"/>
      <c r="L565" s="26" t="n"/>
      <c r="M565" s="37" t="n"/>
      <c r="N565" s="37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34" t="n"/>
      <c r="Y565" s="26" t="n"/>
      <c r="Z565" s="26" t="n"/>
      <c r="AA565" s="26" t="n"/>
      <c r="AB565" s="27" t="n"/>
      <c r="AC565" s="32">
        <f>IF(A565="","",IF(COUNTIF($H$5:$H$1004,H565)&gt;1,"DUPLICATE","UNIQUE"))</f>
        <v/>
      </c>
      <c r="AD565" s="32">
        <f>IF(A565="","",IF(AA565="Rejected",IF(AB565&lt;&gt;"","REJECTED","ADD REASON"),IF(AND(B565&lt;&gt;"",C565&lt;&gt;"",D565&lt;&gt;"",E565&lt;&gt;"",F565&lt;&gt;"",G565&lt;&gt;"",H565&lt;&gt;"",J565&lt;&gt;"",K565&lt;&gt;"",L565&lt;&gt;"",M565&lt;&gt;"",N565&lt;&gt;"",O565&lt;&gt;"",P565&lt;&gt;"",Q565&lt;&gt;"",R565&lt;&gt;"",S565&lt;&gt;"",T565&lt;&gt;"",U565&lt;&gt;"",V565&lt;&gt;"",W565&lt;&gt;"",X565&lt;&gt;"",Y565&lt;&gt;"",AC565="UNIQUE"),"READY","CHECK")))</f>
        <v/>
      </c>
    </row>
    <row r="566">
      <c r="A566" s="25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37" t="n"/>
      <c r="K566" s="34" t="n"/>
      <c r="L566" s="26" t="n"/>
      <c r="M566" s="37" t="n"/>
      <c r="N566" s="37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34" t="n"/>
      <c r="Y566" s="26" t="n"/>
      <c r="Z566" s="26" t="n"/>
      <c r="AA566" s="26" t="n"/>
      <c r="AB566" s="27" t="n"/>
      <c r="AC566" s="32">
        <f>IF(A566="","",IF(COUNTIF($H$5:$H$1004,H566)&gt;1,"DUPLICATE","UNIQUE"))</f>
        <v/>
      </c>
      <c r="AD566" s="32">
        <f>IF(A566="","",IF(AA566="Rejected",IF(AB566&lt;&gt;"","REJECTED","ADD REASON"),IF(AND(B566&lt;&gt;"",C566&lt;&gt;"",D566&lt;&gt;"",E566&lt;&gt;"",F566&lt;&gt;"",G566&lt;&gt;"",H566&lt;&gt;"",J566&lt;&gt;"",K566&lt;&gt;"",L566&lt;&gt;"",M566&lt;&gt;"",N566&lt;&gt;"",O566&lt;&gt;"",P566&lt;&gt;"",Q566&lt;&gt;"",R566&lt;&gt;"",S566&lt;&gt;"",T566&lt;&gt;"",U566&lt;&gt;"",V566&lt;&gt;"",W566&lt;&gt;"",X566&lt;&gt;"",Y566&lt;&gt;"",AC566="UNIQUE"),"READY","CHECK")))</f>
        <v/>
      </c>
    </row>
    <row r="567">
      <c r="A567" s="25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37" t="n"/>
      <c r="K567" s="34" t="n"/>
      <c r="L567" s="26" t="n"/>
      <c r="M567" s="37" t="n"/>
      <c r="N567" s="37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34" t="n"/>
      <c r="Y567" s="26" t="n"/>
      <c r="Z567" s="26" t="n"/>
      <c r="AA567" s="26" t="n"/>
      <c r="AB567" s="27" t="n"/>
      <c r="AC567" s="32">
        <f>IF(A567="","",IF(COUNTIF($H$5:$H$1004,H567)&gt;1,"DUPLICATE","UNIQUE"))</f>
        <v/>
      </c>
      <c r="AD567" s="32">
        <f>IF(A567="","",IF(AA567="Rejected",IF(AB567&lt;&gt;"","REJECTED","ADD REASON"),IF(AND(B567&lt;&gt;"",C567&lt;&gt;"",D567&lt;&gt;"",E567&lt;&gt;"",F567&lt;&gt;"",G567&lt;&gt;"",H567&lt;&gt;"",J567&lt;&gt;"",K567&lt;&gt;"",L567&lt;&gt;"",M567&lt;&gt;"",N567&lt;&gt;"",O567&lt;&gt;"",P567&lt;&gt;"",Q567&lt;&gt;"",R567&lt;&gt;"",S567&lt;&gt;"",T567&lt;&gt;"",U567&lt;&gt;"",V567&lt;&gt;"",W567&lt;&gt;"",X567&lt;&gt;"",Y567&lt;&gt;"",AC567="UNIQUE"),"READY","CHECK")))</f>
        <v/>
      </c>
    </row>
    <row r="568">
      <c r="A568" s="25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37" t="n"/>
      <c r="K568" s="34" t="n"/>
      <c r="L568" s="26" t="n"/>
      <c r="M568" s="37" t="n"/>
      <c r="N568" s="37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34" t="n"/>
      <c r="Y568" s="26" t="n"/>
      <c r="Z568" s="26" t="n"/>
      <c r="AA568" s="26" t="n"/>
      <c r="AB568" s="27" t="n"/>
      <c r="AC568" s="32">
        <f>IF(A568="","",IF(COUNTIF($H$5:$H$1004,H568)&gt;1,"DUPLICATE","UNIQUE"))</f>
        <v/>
      </c>
      <c r="AD568" s="32">
        <f>IF(A568="","",IF(AA568="Rejected",IF(AB568&lt;&gt;"","REJECTED","ADD REASON"),IF(AND(B568&lt;&gt;"",C568&lt;&gt;"",D568&lt;&gt;"",E568&lt;&gt;"",F568&lt;&gt;"",G568&lt;&gt;"",H568&lt;&gt;"",J568&lt;&gt;"",K568&lt;&gt;"",L568&lt;&gt;"",M568&lt;&gt;"",N568&lt;&gt;"",O568&lt;&gt;"",P568&lt;&gt;"",Q568&lt;&gt;"",R568&lt;&gt;"",S568&lt;&gt;"",T568&lt;&gt;"",U568&lt;&gt;"",V568&lt;&gt;"",W568&lt;&gt;"",X568&lt;&gt;"",Y568&lt;&gt;"",AC568="UNIQUE"),"READY","CHECK")))</f>
        <v/>
      </c>
    </row>
    <row r="569">
      <c r="A569" s="25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37" t="n"/>
      <c r="K569" s="34" t="n"/>
      <c r="L569" s="26" t="n"/>
      <c r="M569" s="37" t="n"/>
      <c r="N569" s="37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34" t="n"/>
      <c r="Y569" s="26" t="n"/>
      <c r="Z569" s="26" t="n"/>
      <c r="AA569" s="26" t="n"/>
      <c r="AB569" s="27" t="n"/>
      <c r="AC569" s="32">
        <f>IF(A569="","",IF(COUNTIF($H$5:$H$1004,H569)&gt;1,"DUPLICATE","UNIQUE"))</f>
        <v/>
      </c>
      <c r="AD569" s="32">
        <f>IF(A569="","",IF(AA569="Rejected",IF(AB569&lt;&gt;"","REJECTED","ADD REASON"),IF(AND(B569&lt;&gt;"",C569&lt;&gt;"",D569&lt;&gt;"",E569&lt;&gt;"",F569&lt;&gt;"",G569&lt;&gt;"",H569&lt;&gt;"",J569&lt;&gt;"",K569&lt;&gt;"",L569&lt;&gt;"",M569&lt;&gt;"",N569&lt;&gt;"",O569&lt;&gt;"",P569&lt;&gt;"",Q569&lt;&gt;"",R569&lt;&gt;"",S569&lt;&gt;"",T569&lt;&gt;"",U569&lt;&gt;"",V569&lt;&gt;"",W569&lt;&gt;"",X569&lt;&gt;"",Y569&lt;&gt;"",AC569="UNIQUE"),"READY","CHECK")))</f>
        <v/>
      </c>
    </row>
    <row r="570">
      <c r="A570" s="25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37" t="n"/>
      <c r="K570" s="34" t="n"/>
      <c r="L570" s="26" t="n"/>
      <c r="M570" s="37" t="n"/>
      <c r="N570" s="37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34" t="n"/>
      <c r="Y570" s="26" t="n"/>
      <c r="Z570" s="26" t="n"/>
      <c r="AA570" s="26" t="n"/>
      <c r="AB570" s="27" t="n"/>
      <c r="AC570" s="32">
        <f>IF(A570="","",IF(COUNTIF($H$5:$H$1004,H570)&gt;1,"DUPLICATE","UNIQUE"))</f>
        <v/>
      </c>
      <c r="AD570" s="32">
        <f>IF(A570="","",IF(AA570="Rejected",IF(AB570&lt;&gt;"","REJECTED","ADD REASON"),IF(AND(B570&lt;&gt;"",C570&lt;&gt;"",D570&lt;&gt;"",E570&lt;&gt;"",F570&lt;&gt;"",G570&lt;&gt;"",H570&lt;&gt;"",J570&lt;&gt;"",K570&lt;&gt;"",L570&lt;&gt;"",M570&lt;&gt;"",N570&lt;&gt;"",O570&lt;&gt;"",P570&lt;&gt;"",Q570&lt;&gt;"",R570&lt;&gt;"",S570&lt;&gt;"",T570&lt;&gt;"",U570&lt;&gt;"",V570&lt;&gt;"",W570&lt;&gt;"",X570&lt;&gt;"",Y570&lt;&gt;"",AC570="UNIQUE"),"READY","CHECK")))</f>
        <v/>
      </c>
    </row>
    <row r="571">
      <c r="A571" s="25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37" t="n"/>
      <c r="K571" s="34" t="n"/>
      <c r="L571" s="26" t="n"/>
      <c r="M571" s="37" t="n"/>
      <c r="N571" s="37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34" t="n"/>
      <c r="Y571" s="26" t="n"/>
      <c r="Z571" s="26" t="n"/>
      <c r="AA571" s="26" t="n"/>
      <c r="AB571" s="27" t="n"/>
      <c r="AC571" s="32">
        <f>IF(A571="","",IF(COUNTIF($H$5:$H$1004,H571)&gt;1,"DUPLICATE","UNIQUE"))</f>
        <v/>
      </c>
      <c r="AD571" s="32">
        <f>IF(A571="","",IF(AA571="Rejected",IF(AB571&lt;&gt;"","REJECTED","ADD REASON"),IF(AND(B571&lt;&gt;"",C571&lt;&gt;"",D571&lt;&gt;"",E571&lt;&gt;"",F571&lt;&gt;"",G571&lt;&gt;"",H571&lt;&gt;"",J571&lt;&gt;"",K571&lt;&gt;"",L571&lt;&gt;"",M571&lt;&gt;"",N571&lt;&gt;"",O571&lt;&gt;"",P571&lt;&gt;"",Q571&lt;&gt;"",R571&lt;&gt;"",S571&lt;&gt;"",T571&lt;&gt;"",U571&lt;&gt;"",V571&lt;&gt;"",W571&lt;&gt;"",X571&lt;&gt;"",Y571&lt;&gt;"",AC571="UNIQUE"),"READY","CHECK")))</f>
        <v/>
      </c>
    </row>
    <row r="572">
      <c r="A572" s="25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37" t="n"/>
      <c r="K572" s="34" t="n"/>
      <c r="L572" s="26" t="n"/>
      <c r="M572" s="37" t="n"/>
      <c r="N572" s="37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34" t="n"/>
      <c r="Y572" s="26" t="n"/>
      <c r="Z572" s="26" t="n"/>
      <c r="AA572" s="26" t="n"/>
      <c r="AB572" s="27" t="n"/>
      <c r="AC572" s="32">
        <f>IF(A572="","",IF(COUNTIF($H$5:$H$1004,H572)&gt;1,"DUPLICATE","UNIQUE"))</f>
        <v/>
      </c>
      <c r="AD572" s="32">
        <f>IF(A572="","",IF(AA572="Rejected",IF(AB572&lt;&gt;"","REJECTED","ADD REASON"),IF(AND(B572&lt;&gt;"",C572&lt;&gt;"",D572&lt;&gt;"",E572&lt;&gt;"",F572&lt;&gt;"",G572&lt;&gt;"",H572&lt;&gt;"",J572&lt;&gt;"",K572&lt;&gt;"",L572&lt;&gt;"",M572&lt;&gt;"",N572&lt;&gt;"",O572&lt;&gt;"",P572&lt;&gt;"",Q572&lt;&gt;"",R572&lt;&gt;"",S572&lt;&gt;"",T572&lt;&gt;"",U572&lt;&gt;"",V572&lt;&gt;"",W572&lt;&gt;"",X572&lt;&gt;"",Y572&lt;&gt;"",AC572="UNIQUE"),"READY","CHECK")))</f>
        <v/>
      </c>
    </row>
    <row r="573">
      <c r="A573" s="25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37" t="n"/>
      <c r="K573" s="34" t="n"/>
      <c r="L573" s="26" t="n"/>
      <c r="M573" s="37" t="n"/>
      <c r="N573" s="37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34" t="n"/>
      <c r="Y573" s="26" t="n"/>
      <c r="Z573" s="26" t="n"/>
      <c r="AA573" s="26" t="n"/>
      <c r="AB573" s="27" t="n"/>
      <c r="AC573" s="32">
        <f>IF(A573="","",IF(COUNTIF($H$5:$H$1004,H573)&gt;1,"DUPLICATE","UNIQUE"))</f>
        <v/>
      </c>
      <c r="AD573" s="32">
        <f>IF(A573="","",IF(AA573="Rejected",IF(AB573&lt;&gt;"","REJECTED","ADD REASON"),IF(AND(B573&lt;&gt;"",C573&lt;&gt;"",D573&lt;&gt;"",E573&lt;&gt;"",F573&lt;&gt;"",G573&lt;&gt;"",H573&lt;&gt;"",J573&lt;&gt;"",K573&lt;&gt;"",L573&lt;&gt;"",M573&lt;&gt;"",N573&lt;&gt;"",O573&lt;&gt;"",P573&lt;&gt;"",Q573&lt;&gt;"",R573&lt;&gt;"",S573&lt;&gt;"",T573&lt;&gt;"",U573&lt;&gt;"",V573&lt;&gt;"",W573&lt;&gt;"",X573&lt;&gt;"",Y573&lt;&gt;"",AC573="UNIQUE"),"READY","CHECK")))</f>
        <v/>
      </c>
    </row>
    <row r="574">
      <c r="A574" s="25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37" t="n"/>
      <c r="K574" s="34" t="n"/>
      <c r="L574" s="26" t="n"/>
      <c r="M574" s="37" t="n"/>
      <c r="N574" s="37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34" t="n"/>
      <c r="Y574" s="26" t="n"/>
      <c r="Z574" s="26" t="n"/>
      <c r="AA574" s="26" t="n"/>
      <c r="AB574" s="27" t="n"/>
      <c r="AC574" s="32">
        <f>IF(A574="","",IF(COUNTIF($H$5:$H$1004,H574)&gt;1,"DUPLICATE","UNIQUE"))</f>
        <v/>
      </c>
      <c r="AD574" s="32">
        <f>IF(A574="","",IF(AA574="Rejected",IF(AB574&lt;&gt;"","REJECTED","ADD REASON"),IF(AND(B574&lt;&gt;"",C574&lt;&gt;"",D574&lt;&gt;"",E574&lt;&gt;"",F574&lt;&gt;"",G574&lt;&gt;"",H574&lt;&gt;"",J574&lt;&gt;"",K574&lt;&gt;"",L574&lt;&gt;"",M574&lt;&gt;"",N574&lt;&gt;"",O574&lt;&gt;"",P574&lt;&gt;"",Q574&lt;&gt;"",R574&lt;&gt;"",S574&lt;&gt;"",T574&lt;&gt;"",U574&lt;&gt;"",V574&lt;&gt;"",W574&lt;&gt;"",X574&lt;&gt;"",Y574&lt;&gt;"",AC574="UNIQUE"),"READY","CHECK")))</f>
        <v/>
      </c>
    </row>
    <row r="575">
      <c r="A575" s="25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37" t="n"/>
      <c r="K575" s="34" t="n"/>
      <c r="L575" s="26" t="n"/>
      <c r="M575" s="37" t="n"/>
      <c r="N575" s="37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34" t="n"/>
      <c r="Y575" s="26" t="n"/>
      <c r="Z575" s="26" t="n"/>
      <c r="AA575" s="26" t="n"/>
      <c r="AB575" s="27" t="n"/>
      <c r="AC575" s="32">
        <f>IF(A575="","",IF(COUNTIF($H$5:$H$1004,H575)&gt;1,"DUPLICATE","UNIQUE"))</f>
        <v/>
      </c>
      <c r="AD575" s="32">
        <f>IF(A575="","",IF(AA575="Rejected",IF(AB575&lt;&gt;"","REJECTED","ADD REASON"),IF(AND(B575&lt;&gt;"",C575&lt;&gt;"",D575&lt;&gt;"",E575&lt;&gt;"",F575&lt;&gt;"",G575&lt;&gt;"",H575&lt;&gt;"",J575&lt;&gt;"",K575&lt;&gt;"",L575&lt;&gt;"",M575&lt;&gt;"",N575&lt;&gt;"",O575&lt;&gt;"",P575&lt;&gt;"",Q575&lt;&gt;"",R575&lt;&gt;"",S575&lt;&gt;"",T575&lt;&gt;"",U575&lt;&gt;"",V575&lt;&gt;"",W575&lt;&gt;"",X575&lt;&gt;"",Y575&lt;&gt;"",AC575="UNIQUE"),"READY","CHECK")))</f>
        <v/>
      </c>
    </row>
    <row r="576">
      <c r="A576" s="25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37" t="n"/>
      <c r="K576" s="34" t="n"/>
      <c r="L576" s="26" t="n"/>
      <c r="M576" s="37" t="n"/>
      <c r="N576" s="37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34" t="n"/>
      <c r="Y576" s="26" t="n"/>
      <c r="Z576" s="26" t="n"/>
      <c r="AA576" s="26" t="n"/>
      <c r="AB576" s="27" t="n"/>
      <c r="AC576" s="32">
        <f>IF(A576="","",IF(COUNTIF($H$5:$H$1004,H576)&gt;1,"DUPLICATE","UNIQUE"))</f>
        <v/>
      </c>
      <c r="AD576" s="32">
        <f>IF(A576="","",IF(AA576="Rejected",IF(AB576&lt;&gt;"","REJECTED","ADD REASON"),IF(AND(B576&lt;&gt;"",C576&lt;&gt;"",D576&lt;&gt;"",E576&lt;&gt;"",F576&lt;&gt;"",G576&lt;&gt;"",H576&lt;&gt;"",J576&lt;&gt;"",K576&lt;&gt;"",L576&lt;&gt;"",M576&lt;&gt;"",N576&lt;&gt;"",O576&lt;&gt;"",P576&lt;&gt;"",Q576&lt;&gt;"",R576&lt;&gt;"",S576&lt;&gt;"",T576&lt;&gt;"",U576&lt;&gt;"",V576&lt;&gt;"",W576&lt;&gt;"",X576&lt;&gt;"",Y576&lt;&gt;"",AC576="UNIQUE"),"READY","CHECK")))</f>
        <v/>
      </c>
    </row>
    <row r="577">
      <c r="A577" s="25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37" t="n"/>
      <c r="K577" s="34" t="n"/>
      <c r="L577" s="26" t="n"/>
      <c r="M577" s="37" t="n"/>
      <c r="N577" s="37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34" t="n"/>
      <c r="Y577" s="26" t="n"/>
      <c r="Z577" s="26" t="n"/>
      <c r="AA577" s="26" t="n"/>
      <c r="AB577" s="27" t="n"/>
      <c r="AC577" s="32">
        <f>IF(A577="","",IF(COUNTIF($H$5:$H$1004,H577)&gt;1,"DUPLICATE","UNIQUE"))</f>
        <v/>
      </c>
      <c r="AD577" s="32">
        <f>IF(A577="","",IF(AA577="Rejected",IF(AB577&lt;&gt;"","REJECTED","ADD REASON"),IF(AND(B577&lt;&gt;"",C577&lt;&gt;"",D577&lt;&gt;"",E577&lt;&gt;"",F577&lt;&gt;"",G577&lt;&gt;"",H577&lt;&gt;"",J577&lt;&gt;"",K577&lt;&gt;"",L577&lt;&gt;"",M577&lt;&gt;"",N577&lt;&gt;"",O577&lt;&gt;"",P577&lt;&gt;"",Q577&lt;&gt;"",R577&lt;&gt;"",S577&lt;&gt;"",T577&lt;&gt;"",U577&lt;&gt;"",V577&lt;&gt;"",W577&lt;&gt;"",X577&lt;&gt;"",Y577&lt;&gt;"",AC577="UNIQUE"),"READY","CHECK")))</f>
        <v/>
      </c>
    </row>
    <row r="578">
      <c r="A578" s="25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37" t="n"/>
      <c r="K578" s="34" t="n"/>
      <c r="L578" s="26" t="n"/>
      <c r="M578" s="37" t="n"/>
      <c r="N578" s="37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34" t="n"/>
      <c r="Y578" s="26" t="n"/>
      <c r="Z578" s="26" t="n"/>
      <c r="AA578" s="26" t="n"/>
      <c r="AB578" s="27" t="n"/>
      <c r="AC578" s="32">
        <f>IF(A578="","",IF(COUNTIF($H$5:$H$1004,H578)&gt;1,"DUPLICATE","UNIQUE"))</f>
        <v/>
      </c>
      <c r="AD578" s="32">
        <f>IF(A578="","",IF(AA578="Rejected",IF(AB578&lt;&gt;"","REJECTED","ADD REASON"),IF(AND(B578&lt;&gt;"",C578&lt;&gt;"",D578&lt;&gt;"",E578&lt;&gt;"",F578&lt;&gt;"",G578&lt;&gt;"",H578&lt;&gt;"",J578&lt;&gt;"",K578&lt;&gt;"",L578&lt;&gt;"",M578&lt;&gt;"",N578&lt;&gt;"",O578&lt;&gt;"",P578&lt;&gt;"",Q578&lt;&gt;"",R578&lt;&gt;"",S578&lt;&gt;"",T578&lt;&gt;"",U578&lt;&gt;"",V578&lt;&gt;"",W578&lt;&gt;"",X578&lt;&gt;"",Y578&lt;&gt;"",AC578="UNIQUE"),"READY","CHECK")))</f>
        <v/>
      </c>
    </row>
    <row r="579">
      <c r="A579" s="25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37" t="n"/>
      <c r="K579" s="34" t="n"/>
      <c r="L579" s="26" t="n"/>
      <c r="M579" s="37" t="n"/>
      <c r="N579" s="37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34" t="n"/>
      <c r="Y579" s="26" t="n"/>
      <c r="Z579" s="26" t="n"/>
      <c r="AA579" s="26" t="n"/>
      <c r="AB579" s="27" t="n"/>
      <c r="AC579" s="32">
        <f>IF(A579="","",IF(COUNTIF($H$5:$H$1004,H579)&gt;1,"DUPLICATE","UNIQUE"))</f>
        <v/>
      </c>
      <c r="AD579" s="32">
        <f>IF(A579="","",IF(AA579="Rejected",IF(AB579&lt;&gt;"","REJECTED","ADD REASON"),IF(AND(B579&lt;&gt;"",C579&lt;&gt;"",D579&lt;&gt;"",E579&lt;&gt;"",F579&lt;&gt;"",G579&lt;&gt;"",H579&lt;&gt;"",J579&lt;&gt;"",K579&lt;&gt;"",L579&lt;&gt;"",M579&lt;&gt;"",N579&lt;&gt;"",O579&lt;&gt;"",P579&lt;&gt;"",Q579&lt;&gt;"",R579&lt;&gt;"",S579&lt;&gt;"",T579&lt;&gt;"",U579&lt;&gt;"",V579&lt;&gt;"",W579&lt;&gt;"",X579&lt;&gt;"",Y579&lt;&gt;"",AC579="UNIQUE"),"READY","CHECK")))</f>
        <v/>
      </c>
    </row>
    <row r="580">
      <c r="A580" s="25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37" t="n"/>
      <c r="K580" s="34" t="n"/>
      <c r="L580" s="26" t="n"/>
      <c r="M580" s="37" t="n"/>
      <c r="N580" s="37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34" t="n"/>
      <c r="Y580" s="26" t="n"/>
      <c r="Z580" s="26" t="n"/>
      <c r="AA580" s="26" t="n"/>
      <c r="AB580" s="27" t="n"/>
      <c r="AC580" s="32">
        <f>IF(A580="","",IF(COUNTIF($H$5:$H$1004,H580)&gt;1,"DUPLICATE","UNIQUE"))</f>
        <v/>
      </c>
      <c r="AD580" s="32">
        <f>IF(A580="","",IF(AA580="Rejected",IF(AB580&lt;&gt;"","REJECTED","ADD REASON"),IF(AND(B580&lt;&gt;"",C580&lt;&gt;"",D580&lt;&gt;"",E580&lt;&gt;"",F580&lt;&gt;"",G580&lt;&gt;"",H580&lt;&gt;"",J580&lt;&gt;"",K580&lt;&gt;"",L580&lt;&gt;"",M580&lt;&gt;"",N580&lt;&gt;"",O580&lt;&gt;"",P580&lt;&gt;"",Q580&lt;&gt;"",R580&lt;&gt;"",S580&lt;&gt;"",T580&lt;&gt;"",U580&lt;&gt;"",V580&lt;&gt;"",W580&lt;&gt;"",X580&lt;&gt;"",Y580&lt;&gt;"",AC580="UNIQUE"),"READY","CHECK")))</f>
        <v/>
      </c>
    </row>
    <row r="581">
      <c r="A581" s="25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37" t="n"/>
      <c r="K581" s="34" t="n"/>
      <c r="L581" s="26" t="n"/>
      <c r="M581" s="37" t="n"/>
      <c r="N581" s="37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34" t="n"/>
      <c r="Y581" s="26" t="n"/>
      <c r="Z581" s="26" t="n"/>
      <c r="AA581" s="26" t="n"/>
      <c r="AB581" s="27" t="n"/>
      <c r="AC581" s="32">
        <f>IF(A581="","",IF(COUNTIF($H$5:$H$1004,H581)&gt;1,"DUPLICATE","UNIQUE"))</f>
        <v/>
      </c>
      <c r="AD581" s="32">
        <f>IF(A581="","",IF(AA581="Rejected",IF(AB581&lt;&gt;"","REJECTED","ADD REASON"),IF(AND(B581&lt;&gt;"",C581&lt;&gt;"",D581&lt;&gt;"",E581&lt;&gt;"",F581&lt;&gt;"",G581&lt;&gt;"",H581&lt;&gt;"",J581&lt;&gt;"",K581&lt;&gt;"",L581&lt;&gt;"",M581&lt;&gt;"",N581&lt;&gt;"",O581&lt;&gt;"",P581&lt;&gt;"",Q581&lt;&gt;"",R581&lt;&gt;"",S581&lt;&gt;"",T581&lt;&gt;"",U581&lt;&gt;"",V581&lt;&gt;"",W581&lt;&gt;"",X581&lt;&gt;"",Y581&lt;&gt;"",AC581="UNIQUE"),"READY","CHECK")))</f>
        <v/>
      </c>
    </row>
    <row r="582">
      <c r="A582" s="25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37" t="n"/>
      <c r="K582" s="34" t="n"/>
      <c r="L582" s="26" t="n"/>
      <c r="M582" s="37" t="n"/>
      <c r="N582" s="37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34" t="n"/>
      <c r="Y582" s="26" t="n"/>
      <c r="Z582" s="26" t="n"/>
      <c r="AA582" s="26" t="n"/>
      <c r="AB582" s="27" t="n"/>
      <c r="AC582" s="32">
        <f>IF(A582="","",IF(COUNTIF($H$5:$H$1004,H582)&gt;1,"DUPLICATE","UNIQUE"))</f>
        <v/>
      </c>
      <c r="AD582" s="32">
        <f>IF(A582="","",IF(AA582="Rejected",IF(AB582&lt;&gt;"","REJECTED","ADD REASON"),IF(AND(B582&lt;&gt;"",C582&lt;&gt;"",D582&lt;&gt;"",E582&lt;&gt;"",F582&lt;&gt;"",G582&lt;&gt;"",H582&lt;&gt;"",J582&lt;&gt;"",K582&lt;&gt;"",L582&lt;&gt;"",M582&lt;&gt;"",N582&lt;&gt;"",O582&lt;&gt;"",P582&lt;&gt;"",Q582&lt;&gt;"",R582&lt;&gt;"",S582&lt;&gt;"",T582&lt;&gt;"",U582&lt;&gt;"",V582&lt;&gt;"",W582&lt;&gt;"",X582&lt;&gt;"",Y582&lt;&gt;"",AC582="UNIQUE"),"READY","CHECK")))</f>
        <v/>
      </c>
    </row>
    <row r="583">
      <c r="A583" s="25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37" t="n"/>
      <c r="K583" s="34" t="n"/>
      <c r="L583" s="26" t="n"/>
      <c r="M583" s="37" t="n"/>
      <c r="N583" s="37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34" t="n"/>
      <c r="Y583" s="26" t="n"/>
      <c r="Z583" s="26" t="n"/>
      <c r="AA583" s="26" t="n"/>
      <c r="AB583" s="27" t="n"/>
      <c r="AC583" s="32">
        <f>IF(A583="","",IF(COUNTIF($H$5:$H$1004,H583)&gt;1,"DUPLICATE","UNIQUE"))</f>
        <v/>
      </c>
      <c r="AD583" s="32">
        <f>IF(A583="","",IF(AA583="Rejected",IF(AB583&lt;&gt;"","REJECTED","ADD REASON"),IF(AND(B583&lt;&gt;"",C583&lt;&gt;"",D583&lt;&gt;"",E583&lt;&gt;"",F583&lt;&gt;"",G583&lt;&gt;"",H583&lt;&gt;"",J583&lt;&gt;"",K583&lt;&gt;"",L583&lt;&gt;"",M583&lt;&gt;"",N583&lt;&gt;"",O583&lt;&gt;"",P583&lt;&gt;"",Q583&lt;&gt;"",R583&lt;&gt;"",S583&lt;&gt;"",T583&lt;&gt;"",U583&lt;&gt;"",V583&lt;&gt;"",W583&lt;&gt;"",X583&lt;&gt;"",Y583&lt;&gt;"",AC583="UNIQUE"),"READY","CHECK")))</f>
        <v/>
      </c>
    </row>
    <row r="584">
      <c r="A584" s="25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37" t="n"/>
      <c r="K584" s="34" t="n"/>
      <c r="L584" s="26" t="n"/>
      <c r="M584" s="37" t="n"/>
      <c r="N584" s="37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34" t="n"/>
      <c r="Y584" s="26" t="n"/>
      <c r="Z584" s="26" t="n"/>
      <c r="AA584" s="26" t="n"/>
      <c r="AB584" s="27" t="n"/>
      <c r="AC584" s="32">
        <f>IF(A584="","",IF(COUNTIF($H$5:$H$1004,H584)&gt;1,"DUPLICATE","UNIQUE"))</f>
        <v/>
      </c>
      <c r="AD584" s="32">
        <f>IF(A584="","",IF(AA584="Rejected",IF(AB584&lt;&gt;"","REJECTED","ADD REASON"),IF(AND(B584&lt;&gt;"",C584&lt;&gt;"",D584&lt;&gt;"",E584&lt;&gt;"",F584&lt;&gt;"",G584&lt;&gt;"",H584&lt;&gt;"",J584&lt;&gt;"",K584&lt;&gt;"",L584&lt;&gt;"",M584&lt;&gt;"",N584&lt;&gt;"",O584&lt;&gt;"",P584&lt;&gt;"",Q584&lt;&gt;"",R584&lt;&gt;"",S584&lt;&gt;"",T584&lt;&gt;"",U584&lt;&gt;"",V584&lt;&gt;"",W584&lt;&gt;"",X584&lt;&gt;"",Y584&lt;&gt;"",AC584="UNIQUE"),"READY","CHECK")))</f>
        <v/>
      </c>
    </row>
    <row r="585">
      <c r="A585" s="25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37" t="n"/>
      <c r="K585" s="34" t="n"/>
      <c r="L585" s="26" t="n"/>
      <c r="M585" s="37" t="n"/>
      <c r="N585" s="37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34" t="n"/>
      <c r="Y585" s="26" t="n"/>
      <c r="Z585" s="26" t="n"/>
      <c r="AA585" s="26" t="n"/>
      <c r="AB585" s="27" t="n"/>
      <c r="AC585" s="32">
        <f>IF(A585="","",IF(COUNTIF($H$5:$H$1004,H585)&gt;1,"DUPLICATE","UNIQUE"))</f>
        <v/>
      </c>
      <c r="AD585" s="32">
        <f>IF(A585="","",IF(AA585="Rejected",IF(AB585&lt;&gt;"","REJECTED","ADD REASON"),IF(AND(B585&lt;&gt;"",C585&lt;&gt;"",D585&lt;&gt;"",E585&lt;&gt;"",F585&lt;&gt;"",G585&lt;&gt;"",H585&lt;&gt;"",J585&lt;&gt;"",K585&lt;&gt;"",L585&lt;&gt;"",M585&lt;&gt;"",N585&lt;&gt;"",O585&lt;&gt;"",P585&lt;&gt;"",Q585&lt;&gt;"",R585&lt;&gt;"",S585&lt;&gt;"",T585&lt;&gt;"",U585&lt;&gt;"",V585&lt;&gt;"",W585&lt;&gt;"",X585&lt;&gt;"",Y585&lt;&gt;"",AC585="UNIQUE"),"READY","CHECK")))</f>
        <v/>
      </c>
    </row>
    <row r="586">
      <c r="A586" s="25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37" t="n"/>
      <c r="K586" s="34" t="n"/>
      <c r="L586" s="26" t="n"/>
      <c r="M586" s="37" t="n"/>
      <c r="N586" s="37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34" t="n"/>
      <c r="Y586" s="26" t="n"/>
      <c r="Z586" s="26" t="n"/>
      <c r="AA586" s="26" t="n"/>
      <c r="AB586" s="27" t="n"/>
      <c r="AC586" s="32">
        <f>IF(A586="","",IF(COUNTIF($H$5:$H$1004,H586)&gt;1,"DUPLICATE","UNIQUE"))</f>
        <v/>
      </c>
      <c r="AD586" s="32">
        <f>IF(A586="","",IF(AA586="Rejected",IF(AB586&lt;&gt;"","REJECTED","ADD REASON"),IF(AND(B586&lt;&gt;"",C586&lt;&gt;"",D586&lt;&gt;"",E586&lt;&gt;"",F586&lt;&gt;"",G586&lt;&gt;"",H586&lt;&gt;"",J586&lt;&gt;"",K586&lt;&gt;"",L586&lt;&gt;"",M586&lt;&gt;"",N586&lt;&gt;"",O586&lt;&gt;"",P586&lt;&gt;"",Q586&lt;&gt;"",R586&lt;&gt;"",S586&lt;&gt;"",T586&lt;&gt;"",U586&lt;&gt;"",V586&lt;&gt;"",W586&lt;&gt;"",X586&lt;&gt;"",Y586&lt;&gt;"",AC586="UNIQUE"),"READY","CHECK")))</f>
        <v/>
      </c>
    </row>
    <row r="587">
      <c r="A587" s="25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37" t="n"/>
      <c r="K587" s="34" t="n"/>
      <c r="L587" s="26" t="n"/>
      <c r="M587" s="37" t="n"/>
      <c r="N587" s="37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34" t="n"/>
      <c r="Y587" s="26" t="n"/>
      <c r="Z587" s="26" t="n"/>
      <c r="AA587" s="26" t="n"/>
      <c r="AB587" s="27" t="n"/>
      <c r="AC587" s="32">
        <f>IF(A587="","",IF(COUNTIF($H$5:$H$1004,H587)&gt;1,"DUPLICATE","UNIQUE"))</f>
        <v/>
      </c>
      <c r="AD587" s="32">
        <f>IF(A587="","",IF(AA587="Rejected",IF(AB587&lt;&gt;"","REJECTED","ADD REASON"),IF(AND(B587&lt;&gt;"",C587&lt;&gt;"",D587&lt;&gt;"",E587&lt;&gt;"",F587&lt;&gt;"",G587&lt;&gt;"",H587&lt;&gt;"",J587&lt;&gt;"",K587&lt;&gt;"",L587&lt;&gt;"",M587&lt;&gt;"",N587&lt;&gt;"",O587&lt;&gt;"",P587&lt;&gt;"",Q587&lt;&gt;"",R587&lt;&gt;"",S587&lt;&gt;"",T587&lt;&gt;"",U587&lt;&gt;"",V587&lt;&gt;"",W587&lt;&gt;"",X587&lt;&gt;"",Y587&lt;&gt;"",AC587="UNIQUE"),"READY","CHECK")))</f>
        <v/>
      </c>
    </row>
    <row r="588">
      <c r="A588" s="25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37" t="n"/>
      <c r="K588" s="34" t="n"/>
      <c r="L588" s="26" t="n"/>
      <c r="M588" s="37" t="n"/>
      <c r="N588" s="37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34" t="n"/>
      <c r="Y588" s="26" t="n"/>
      <c r="Z588" s="26" t="n"/>
      <c r="AA588" s="26" t="n"/>
      <c r="AB588" s="27" t="n"/>
      <c r="AC588" s="32">
        <f>IF(A588="","",IF(COUNTIF($H$5:$H$1004,H588)&gt;1,"DUPLICATE","UNIQUE"))</f>
        <v/>
      </c>
      <c r="AD588" s="32">
        <f>IF(A588="","",IF(AA588="Rejected",IF(AB588&lt;&gt;"","REJECTED","ADD REASON"),IF(AND(B588&lt;&gt;"",C588&lt;&gt;"",D588&lt;&gt;"",E588&lt;&gt;"",F588&lt;&gt;"",G588&lt;&gt;"",H588&lt;&gt;"",J588&lt;&gt;"",K588&lt;&gt;"",L588&lt;&gt;"",M588&lt;&gt;"",N588&lt;&gt;"",O588&lt;&gt;"",P588&lt;&gt;"",Q588&lt;&gt;"",R588&lt;&gt;"",S588&lt;&gt;"",T588&lt;&gt;"",U588&lt;&gt;"",V588&lt;&gt;"",W588&lt;&gt;"",X588&lt;&gt;"",Y588&lt;&gt;"",AC588="UNIQUE"),"READY","CHECK")))</f>
        <v/>
      </c>
    </row>
    <row r="589">
      <c r="A589" s="25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37" t="n"/>
      <c r="K589" s="34" t="n"/>
      <c r="L589" s="26" t="n"/>
      <c r="M589" s="37" t="n"/>
      <c r="N589" s="37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34" t="n"/>
      <c r="Y589" s="26" t="n"/>
      <c r="Z589" s="26" t="n"/>
      <c r="AA589" s="26" t="n"/>
      <c r="AB589" s="27" t="n"/>
      <c r="AC589" s="32">
        <f>IF(A589="","",IF(COUNTIF($H$5:$H$1004,H589)&gt;1,"DUPLICATE","UNIQUE"))</f>
        <v/>
      </c>
      <c r="AD589" s="32">
        <f>IF(A589="","",IF(AA589="Rejected",IF(AB589&lt;&gt;"","REJECTED","ADD REASON"),IF(AND(B589&lt;&gt;"",C589&lt;&gt;"",D589&lt;&gt;"",E589&lt;&gt;"",F589&lt;&gt;"",G589&lt;&gt;"",H589&lt;&gt;"",J589&lt;&gt;"",K589&lt;&gt;"",L589&lt;&gt;"",M589&lt;&gt;"",N589&lt;&gt;"",O589&lt;&gt;"",P589&lt;&gt;"",Q589&lt;&gt;"",R589&lt;&gt;"",S589&lt;&gt;"",T589&lt;&gt;"",U589&lt;&gt;"",V589&lt;&gt;"",W589&lt;&gt;"",X589&lt;&gt;"",Y589&lt;&gt;"",AC589="UNIQUE"),"READY","CHECK")))</f>
        <v/>
      </c>
    </row>
    <row r="590">
      <c r="A590" s="25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37" t="n"/>
      <c r="K590" s="34" t="n"/>
      <c r="L590" s="26" t="n"/>
      <c r="M590" s="37" t="n"/>
      <c r="N590" s="37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34" t="n"/>
      <c r="Y590" s="26" t="n"/>
      <c r="Z590" s="26" t="n"/>
      <c r="AA590" s="26" t="n"/>
      <c r="AB590" s="27" t="n"/>
      <c r="AC590" s="32">
        <f>IF(A590="","",IF(COUNTIF($H$5:$H$1004,H590)&gt;1,"DUPLICATE","UNIQUE"))</f>
        <v/>
      </c>
      <c r="AD590" s="32">
        <f>IF(A590="","",IF(AA590="Rejected",IF(AB590&lt;&gt;"","REJECTED","ADD REASON"),IF(AND(B590&lt;&gt;"",C590&lt;&gt;"",D590&lt;&gt;"",E590&lt;&gt;"",F590&lt;&gt;"",G590&lt;&gt;"",H590&lt;&gt;"",J590&lt;&gt;"",K590&lt;&gt;"",L590&lt;&gt;"",M590&lt;&gt;"",N590&lt;&gt;"",O590&lt;&gt;"",P590&lt;&gt;"",Q590&lt;&gt;"",R590&lt;&gt;"",S590&lt;&gt;"",T590&lt;&gt;"",U590&lt;&gt;"",V590&lt;&gt;"",W590&lt;&gt;"",X590&lt;&gt;"",Y590&lt;&gt;"",AC590="UNIQUE"),"READY","CHECK")))</f>
        <v/>
      </c>
    </row>
    <row r="591">
      <c r="A591" s="25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37" t="n"/>
      <c r="K591" s="34" t="n"/>
      <c r="L591" s="26" t="n"/>
      <c r="M591" s="37" t="n"/>
      <c r="N591" s="37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34" t="n"/>
      <c r="Y591" s="26" t="n"/>
      <c r="Z591" s="26" t="n"/>
      <c r="AA591" s="26" t="n"/>
      <c r="AB591" s="27" t="n"/>
      <c r="AC591" s="32">
        <f>IF(A591="","",IF(COUNTIF($H$5:$H$1004,H591)&gt;1,"DUPLICATE","UNIQUE"))</f>
        <v/>
      </c>
      <c r="AD591" s="32">
        <f>IF(A591="","",IF(AA591="Rejected",IF(AB591&lt;&gt;"","REJECTED","ADD REASON"),IF(AND(B591&lt;&gt;"",C591&lt;&gt;"",D591&lt;&gt;"",E591&lt;&gt;"",F591&lt;&gt;"",G591&lt;&gt;"",H591&lt;&gt;"",J591&lt;&gt;"",K591&lt;&gt;"",L591&lt;&gt;"",M591&lt;&gt;"",N591&lt;&gt;"",O591&lt;&gt;"",P591&lt;&gt;"",Q591&lt;&gt;"",R591&lt;&gt;"",S591&lt;&gt;"",T591&lt;&gt;"",U591&lt;&gt;"",V591&lt;&gt;"",W591&lt;&gt;"",X591&lt;&gt;"",Y591&lt;&gt;"",AC591="UNIQUE"),"READY","CHECK")))</f>
        <v/>
      </c>
    </row>
    <row r="592">
      <c r="A592" s="25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37" t="n"/>
      <c r="K592" s="34" t="n"/>
      <c r="L592" s="26" t="n"/>
      <c r="M592" s="37" t="n"/>
      <c r="N592" s="37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34" t="n"/>
      <c r="Y592" s="26" t="n"/>
      <c r="Z592" s="26" t="n"/>
      <c r="AA592" s="26" t="n"/>
      <c r="AB592" s="27" t="n"/>
      <c r="AC592" s="32">
        <f>IF(A592="","",IF(COUNTIF($H$5:$H$1004,H592)&gt;1,"DUPLICATE","UNIQUE"))</f>
        <v/>
      </c>
      <c r="AD592" s="32">
        <f>IF(A592="","",IF(AA592="Rejected",IF(AB592&lt;&gt;"","REJECTED","ADD REASON"),IF(AND(B592&lt;&gt;"",C592&lt;&gt;"",D592&lt;&gt;"",E592&lt;&gt;"",F592&lt;&gt;"",G592&lt;&gt;"",H592&lt;&gt;"",J592&lt;&gt;"",K592&lt;&gt;"",L592&lt;&gt;"",M592&lt;&gt;"",N592&lt;&gt;"",O592&lt;&gt;"",P592&lt;&gt;"",Q592&lt;&gt;"",R592&lt;&gt;"",S592&lt;&gt;"",T592&lt;&gt;"",U592&lt;&gt;"",V592&lt;&gt;"",W592&lt;&gt;"",X592&lt;&gt;"",Y592&lt;&gt;"",AC592="UNIQUE"),"READY","CHECK")))</f>
        <v/>
      </c>
    </row>
    <row r="593">
      <c r="A593" s="25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37" t="n"/>
      <c r="K593" s="34" t="n"/>
      <c r="L593" s="26" t="n"/>
      <c r="M593" s="37" t="n"/>
      <c r="N593" s="37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34" t="n"/>
      <c r="Y593" s="26" t="n"/>
      <c r="Z593" s="26" t="n"/>
      <c r="AA593" s="26" t="n"/>
      <c r="AB593" s="27" t="n"/>
      <c r="AC593" s="32">
        <f>IF(A593="","",IF(COUNTIF($H$5:$H$1004,H593)&gt;1,"DUPLICATE","UNIQUE"))</f>
        <v/>
      </c>
      <c r="AD593" s="32">
        <f>IF(A593="","",IF(AA593="Rejected",IF(AB593&lt;&gt;"","REJECTED","ADD REASON"),IF(AND(B593&lt;&gt;"",C593&lt;&gt;"",D593&lt;&gt;"",E593&lt;&gt;"",F593&lt;&gt;"",G593&lt;&gt;"",H593&lt;&gt;"",J593&lt;&gt;"",K593&lt;&gt;"",L593&lt;&gt;"",M593&lt;&gt;"",N593&lt;&gt;"",O593&lt;&gt;"",P593&lt;&gt;"",Q593&lt;&gt;"",R593&lt;&gt;"",S593&lt;&gt;"",T593&lt;&gt;"",U593&lt;&gt;"",V593&lt;&gt;"",W593&lt;&gt;"",X593&lt;&gt;"",Y593&lt;&gt;"",AC593="UNIQUE"),"READY","CHECK")))</f>
        <v/>
      </c>
    </row>
    <row r="594">
      <c r="A594" s="25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37" t="n"/>
      <c r="K594" s="34" t="n"/>
      <c r="L594" s="26" t="n"/>
      <c r="M594" s="37" t="n"/>
      <c r="N594" s="37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34" t="n"/>
      <c r="Y594" s="26" t="n"/>
      <c r="Z594" s="26" t="n"/>
      <c r="AA594" s="26" t="n"/>
      <c r="AB594" s="27" t="n"/>
      <c r="AC594" s="32">
        <f>IF(A594="","",IF(COUNTIF($H$5:$H$1004,H594)&gt;1,"DUPLICATE","UNIQUE"))</f>
        <v/>
      </c>
      <c r="AD594" s="32">
        <f>IF(A594="","",IF(AA594="Rejected",IF(AB594&lt;&gt;"","REJECTED","ADD REASON"),IF(AND(B594&lt;&gt;"",C594&lt;&gt;"",D594&lt;&gt;"",E594&lt;&gt;"",F594&lt;&gt;"",G594&lt;&gt;"",H594&lt;&gt;"",J594&lt;&gt;"",K594&lt;&gt;"",L594&lt;&gt;"",M594&lt;&gt;"",N594&lt;&gt;"",O594&lt;&gt;"",P594&lt;&gt;"",Q594&lt;&gt;"",R594&lt;&gt;"",S594&lt;&gt;"",T594&lt;&gt;"",U594&lt;&gt;"",V594&lt;&gt;"",W594&lt;&gt;"",X594&lt;&gt;"",Y594&lt;&gt;"",AC594="UNIQUE"),"READY","CHECK")))</f>
        <v/>
      </c>
    </row>
    <row r="595">
      <c r="A595" s="25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37" t="n"/>
      <c r="K595" s="34" t="n"/>
      <c r="L595" s="26" t="n"/>
      <c r="M595" s="37" t="n"/>
      <c r="N595" s="37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34" t="n"/>
      <c r="Y595" s="26" t="n"/>
      <c r="Z595" s="26" t="n"/>
      <c r="AA595" s="26" t="n"/>
      <c r="AB595" s="27" t="n"/>
      <c r="AC595" s="32">
        <f>IF(A595="","",IF(COUNTIF($H$5:$H$1004,H595)&gt;1,"DUPLICATE","UNIQUE"))</f>
        <v/>
      </c>
      <c r="AD595" s="32">
        <f>IF(A595="","",IF(AA595="Rejected",IF(AB595&lt;&gt;"","REJECTED","ADD REASON"),IF(AND(B595&lt;&gt;"",C595&lt;&gt;"",D595&lt;&gt;"",E595&lt;&gt;"",F595&lt;&gt;"",G595&lt;&gt;"",H595&lt;&gt;"",J595&lt;&gt;"",K595&lt;&gt;"",L595&lt;&gt;"",M595&lt;&gt;"",N595&lt;&gt;"",O595&lt;&gt;"",P595&lt;&gt;"",Q595&lt;&gt;"",R595&lt;&gt;"",S595&lt;&gt;"",T595&lt;&gt;"",U595&lt;&gt;"",V595&lt;&gt;"",W595&lt;&gt;"",X595&lt;&gt;"",Y595&lt;&gt;"",AC595="UNIQUE"),"READY","CHECK")))</f>
        <v/>
      </c>
    </row>
    <row r="596">
      <c r="A596" s="25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37" t="n"/>
      <c r="K596" s="34" t="n"/>
      <c r="L596" s="26" t="n"/>
      <c r="M596" s="37" t="n"/>
      <c r="N596" s="37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34" t="n"/>
      <c r="Y596" s="26" t="n"/>
      <c r="Z596" s="26" t="n"/>
      <c r="AA596" s="26" t="n"/>
      <c r="AB596" s="27" t="n"/>
      <c r="AC596" s="32">
        <f>IF(A596="","",IF(COUNTIF($H$5:$H$1004,H596)&gt;1,"DUPLICATE","UNIQUE"))</f>
        <v/>
      </c>
      <c r="AD596" s="32">
        <f>IF(A596="","",IF(AA596="Rejected",IF(AB596&lt;&gt;"","REJECTED","ADD REASON"),IF(AND(B596&lt;&gt;"",C596&lt;&gt;"",D596&lt;&gt;"",E596&lt;&gt;"",F596&lt;&gt;"",G596&lt;&gt;"",H596&lt;&gt;"",J596&lt;&gt;"",K596&lt;&gt;"",L596&lt;&gt;"",M596&lt;&gt;"",N596&lt;&gt;"",O596&lt;&gt;"",P596&lt;&gt;"",Q596&lt;&gt;"",R596&lt;&gt;"",S596&lt;&gt;"",T596&lt;&gt;"",U596&lt;&gt;"",V596&lt;&gt;"",W596&lt;&gt;"",X596&lt;&gt;"",Y596&lt;&gt;"",AC596="UNIQUE"),"READY","CHECK")))</f>
        <v/>
      </c>
    </row>
    <row r="597">
      <c r="A597" s="25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37" t="n"/>
      <c r="K597" s="34" t="n"/>
      <c r="L597" s="26" t="n"/>
      <c r="M597" s="37" t="n"/>
      <c r="N597" s="37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34" t="n"/>
      <c r="Y597" s="26" t="n"/>
      <c r="Z597" s="26" t="n"/>
      <c r="AA597" s="26" t="n"/>
      <c r="AB597" s="27" t="n"/>
      <c r="AC597" s="32">
        <f>IF(A597="","",IF(COUNTIF($H$5:$H$1004,H597)&gt;1,"DUPLICATE","UNIQUE"))</f>
        <v/>
      </c>
      <c r="AD597" s="32">
        <f>IF(A597="","",IF(AA597="Rejected",IF(AB597&lt;&gt;"","REJECTED","ADD REASON"),IF(AND(B597&lt;&gt;"",C597&lt;&gt;"",D597&lt;&gt;"",E597&lt;&gt;"",F597&lt;&gt;"",G597&lt;&gt;"",H597&lt;&gt;"",J597&lt;&gt;"",K597&lt;&gt;"",L597&lt;&gt;"",M597&lt;&gt;"",N597&lt;&gt;"",O597&lt;&gt;"",P597&lt;&gt;"",Q597&lt;&gt;"",R597&lt;&gt;"",S597&lt;&gt;"",T597&lt;&gt;"",U597&lt;&gt;"",V597&lt;&gt;"",W597&lt;&gt;"",X597&lt;&gt;"",Y597&lt;&gt;"",AC597="UNIQUE"),"READY","CHECK")))</f>
        <v/>
      </c>
    </row>
    <row r="598">
      <c r="A598" s="25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37" t="n"/>
      <c r="K598" s="34" t="n"/>
      <c r="L598" s="26" t="n"/>
      <c r="M598" s="37" t="n"/>
      <c r="N598" s="37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34" t="n"/>
      <c r="Y598" s="26" t="n"/>
      <c r="Z598" s="26" t="n"/>
      <c r="AA598" s="26" t="n"/>
      <c r="AB598" s="27" t="n"/>
      <c r="AC598" s="32">
        <f>IF(A598="","",IF(COUNTIF($H$5:$H$1004,H598)&gt;1,"DUPLICATE","UNIQUE"))</f>
        <v/>
      </c>
      <c r="AD598" s="32">
        <f>IF(A598="","",IF(AA598="Rejected",IF(AB598&lt;&gt;"","REJECTED","ADD REASON"),IF(AND(B598&lt;&gt;"",C598&lt;&gt;"",D598&lt;&gt;"",E598&lt;&gt;"",F598&lt;&gt;"",G598&lt;&gt;"",H598&lt;&gt;"",J598&lt;&gt;"",K598&lt;&gt;"",L598&lt;&gt;"",M598&lt;&gt;"",N598&lt;&gt;"",O598&lt;&gt;"",P598&lt;&gt;"",Q598&lt;&gt;"",R598&lt;&gt;"",S598&lt;&gt;"",T598&lt;&gt;"",U598&lt;&gt;"",V598&lt;&gt;"",W598&lt;&gt;"",X598&lt;&gt;"",Y598&lt;&gt;"",AC598="UNIQUE"),"READY","CHECK")))</f>
        <v/>
      </c>
    </row>
    <row r="599">
      <c r="A599" s="25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37" t="n"/>
      <c r="K599" s="34" t="n"/>
      <c r="L599" s="26" t="n"/>
      <c r="M599" s="37" t="n"/>
      <c r="N599" s="37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34" t="n"/>
      <c r="Y599" s="26" t="n"/>
      <c r="Z599" s="26" t="n"/>
      <c r="AA599" s="26" t="n"/>
      <c r="AB599" s="27" t="n"/>
      <c r="AC599" s="32">
        <f>IF(A599="","",IF(COUNTIF($H$5:$H$1004,H599)&gt;1,"DUPLICATE","UNIQUE"))</f>
        <v/>
      </c>
      <c r="AD599" s="32">
        <f>IF(A599="","",IF(AA599="Rejected",IF(AB599&lt;&gt;"","REJECTED","ADD REASON"),IF(AND(B599&lt;&gt;"",C599&lt;&gt;"",D599&lt;&gt;"",E599&lt;&gt;"",F599&lt;&gt;"",G599&lt;&gt;"",H599&lt;&gt;"",J599&lt;&gt;"",K599&lt;&gt;"",L599&lt;&gt;"",M599&lt;&gt;"",N599&lt;&gt;"",O599&lt;&gt;"",P599&lt;&gt;"",Q599&lt;&gt;"",R599&lt;&gt;"",S599&lt;&gt;"",T599&lt;&gt;"",U599&lt;&gt;"",V599&lt;&gt;"",W599&lt;&gt;"",X599&lt;&gt;"",Y599&lt;&gt;"",AC599="UNIQUE"),"READY","CHECK")))</f>
        <v/>
      </c>
    </row>
    <row r="600">
      <c r="A600" s="25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37" t="n"/>
      <c r="K600" s="34" t="n"/>
      <c r="L600" s="26" t="n"/>
      <c r="M600" s="37" t="n"/>
      <c r="N600" s="37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34" t="n"/>
      <c r="Y600" s="26" t="n"/>
      <c r="Z600" s="26" t="n"/>
      <c r="AA600" s="26" t="n"/>
      <c r="AB600" s="27" t="n"/>
      <c r="AC600" s="32">
        <f>IF(A600="","",IF(COUNTIF($H$5:$H$1004,H600)&gt;1,"DUPLICATE","UNIQUE"))</f>
        <v/>
      </c>
      <c r="AD600" s="32">
        <f>IF(A600="","",IF(AA600="Rejected",IF(AB600&lt;&gt;"","REJECTED","ADD REASON"),IF(AND(B600&lt;&gt;"",C600&lt;&gt;"",D600&lt;&gt;"",E600&lt;&gt;"",F600&lt;&gt;"",G600&lt;&gt;"",H600&lt;&gt;"",J600&lt;&gt;"",K600&lt;&gt;"",L600&lt;&gt;"",M600&lt;&gt;"",N600&lt;&gt;"",O600&lt;&gt;"",P600&lt;&gt;"",Q600&lt;&gt;"",R600&lt;&gt;"",S600&lt;&gt;"",T600&lt;&gt;"",U600&lt;&gt;"",V600&lt;&gt;"",W600&lt;&gt;"",X600&lt;&gt;"",Y600&lt;&gt;"",AC600="UNIQUE"),"READY","CHECK")))</f>
        <v/>
      </c>
    </row>
    <row r="601">
      <c r="A601" s="25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37" t="n"/>
      <c r="K601" s="34" t="n"/>
      <c r="L601" s="26" t="n"/>
      <c r="M601" s="37" t="n"/>
      <c r="N601" s="37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34" t="n"/>
      <c r="Y601" s="26" t="n"/>
      <c r="Z601" s="26" t="n"/>
      <c r="AA601" s="26" t="n"/>
      <c r="AB601" s="27" t="n"/>
      <c r="AC601" s="32">
        <f>IF(A601="","",IF(COUNTIF($H$5:$H$1004,H601)&gt;1,"DUPLICATE","UNIQUE"))</f>
        <v/>
      </c>
      <c r="AD601" s="32">
        <f>IF(A601="","",IF(AA601="Rejected",IF(AB601&lt;&gt;"","REJECTED","ADD REASON"),IF(AND(B601&lt;&gt;"",C601&lt;&gt;"",D601&lt;&gt;"",E601&lt;&gt;"",F601&lt;&gt;"",G601&lt;&gt;"",H601&lt;&gt;"",J601&lt;&gt;"",K601&lt;&gt;"",L601&lt;&gt;"",M601&lt;&gt;"",N601&lt;&gt;"",O601&lt;&gt;"",P601&lt;&gt;"",Q601&lt;&gt;"",R601&lt;&gt;"",S601&lt;&gt;"",T601&lt;&gt;"",U601&lt;&gt;"",V601&lt;&gt;"",W601&lt;&gt;"",X601&lt;&gt;"",Y601&lt;&gt;"",AC601="UNIQUE"),"READY","CHECK")))</f>
        <v/>
      </c>
    </row>
    <row r="602">
      <c r="A602" s="25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37" t="n"/>
      <c r="K602" s="34" t="n"/>
      <c r="L602" s="26" t="n"/>
      <c r="M602" s="37" t="n"/>
      <c r="N602" s="37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34" t="n"/>
      <c r="Y602" s="26" t="n"/>
      <c r="Z602" s="26" t="n"/>
      <c r="AA602" s="26" t="n"/>
      <c r="AB602" s="27" t="n"/>
      <c r="AC602" s="32">
        <f>IF(A602="","",IF(COUNTIF($H$5:$H$1004,H602)&gt;1,"DUPLICATE","UNIQUE"))</f>
        <v/>
      </c>
      <c r="AD602" s="32">
        <f>IF(A602="","",IF(AA602="Rejected",IF(AB602&lt;&gt;"","REJECTED","ADD REASON"),IF(AND(B602&lt;&gt;"",C602&lt;&gt;"",D602&lt;&gt;"",E602&lt;&gt;"",F602&lt;&gt;"",G602&lt;&gt;"",H602&lt;&gt;"",J602&lt;&gt;"",K602&lt;&gt;"",L602&lt;&gt;"",M602&lt;&gt;"",N602&lt;&gt;"",O602&lt;&gt;"",P602&lt;&gt;"",Q602&lt;&gt;"",R602&lt;&gt;"",S602&lt;&gt;"",T602&lt;&gt;"",U602&lt;&gt;"",V602&lt;&gt;"",W602&lt;&gt;"",X602&lt;&gt;"",Y602&lt;&gt;"",AC602="UNIQUE"),"READY","CHECK")))</f>
        <v/>
      </c>
    </row>
    <row r="603">
      <c r="A603" s="25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37" t="n"/>
      <c r="K603" s="34" t="n"/>
      <c r="L603" s="26" t="n"/>
      <c r="M603" s="37" t="n"/>
      <c r="N603" s="37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34" t="n"/>
      <c r="Y603" s="26" t="n"/>
      <c r="Z603" s="26" t="n"/>
      <c r="AA603" s="26" t="n"/>
      <c r="AB603" s="27" t="n"/>
      <c r="AC603" s="32">
        <f>IF(A603="","",IF(COUNTIF($H$5:$H$1004,H603)&gt;1,"DUPLICATE","UNIQUE"))</f>
        <v/>
      </c>
      <c r="AD603" s="32">
        <f>IF(A603="","",IF(AA603="Rejected",IF(AB603&lt;&gt;"","REJECTED","ADD REASON"),IF(AND(B603&lt;&gt;"",C603&lt;&gt;"",D603&lt;&gt;"",E603&lt;&gt;"",F603&lt;&gt;"",G603&lt;&gt;"",H603&lt;&gt;"",J603&lt;&gt;"",K603&lt;&gt;"",L603&lt;&gt;"",M603&lt;&gt;"",N603&lt;&gt;"",O603&lt;&gt;"",P603&lt;&gt;"",Q603&lt;&gt;"",R603&lt;&gt;"",S603&lt;&gt;"",T603&lt;&gt;"",U603&lt;&gt;"",V603&lt;&gt;"",W603&lt;&gt;"",X603&lt;&gt;"",Y603&lt;&gt;"",AC603="UNIQUE"),"READY","CHECK")))</f>
        <v/>
      </c>
    </row>
    <row r="604">
      <c r="A604" s="25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37" t="n"/>
      <c r="K604" s="34" t="n"/>
      <c r="L604" s="26" t="n"/>
      <c r="M604" s="37" t="n"/>
      <c r="N604" s="37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34" t="n"/>
      <c r="Y604" s="26" t="n"/>
      <c r="Z604" s="26" t="n"/>
      <c r="AA604" s="26" t="n"/>
      <c r="AB604" s="27" t="n"/>
      <c r="AC604" s="32">
        <f>IF(A604="","",IF(COUNTIF($H$5:$H$1004,H604)&gt;1,"DUPLICATE","UNIQUE"))</f>
        <v/>
      </c>
      <c r="AD604" s="32">
        <f>IF(A604="","",IF(AA604="Rejected",IF(AB604&lt;&gt;"","REJECTED","ADD REASON"),IF(AND(B604&lt;&gt;"",C604&lt;&gt;"",D604&lt;&gt;"",E604&lt;&gt;"",F604&lt;&gt;"",G604&lt;&gt;"",H604&lt;&gt;"",J604&lt;&gt;"",K604&lt;&gt;"",L604&lt;&gt;"",M604&lt;&gt;"",N604&lt;&gt;"",O604&lt;&gt;"",P604&lt;&gt;"",Q604&lt;&gt;"",R604&lt;&gt;"",S604&lt;&gt;"",T604&lt;&gt;"",U604&lt;&gt;"",V604&lt;&gt;"",W604&lt;&gt;"",X604&lt;&gt;"",Y604&lt;&gt;"",AC604="UNIQUE"),"READY","CHECK")))</f>
        <v/>
      </c>
    </row>
    <row r="605">
      <c r="A605" s="25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37" t="n"/>
      <c r="K605" s="34" t="n"/>
      <c r="L605" s="26" t="n"/>
      <c r="M605" s="37" t="n"/>
      <c r="N605" s="37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34" t="n"/>
      <c r="Y605" s="26" t="n"/>
      <c r="Z605" s="26" t="n"/>
      <c r="AA605" s="26" t="n"/>
      <c r="AB605" s="27" t="n"/>
      <c r="AC605" s="32">
        <f>IF(A605="","",IF(COUNTIF($H$5:$H$1004,H605)&gt;1,"DUPLICATE","UNIQUE"))</f>
        <v/>
      </c>
      <c r="AD605" s="32">
        <f>IF(A605="","",IF(AA605="Rejected",IF(AB605&lt;&gt;"","REJECTED","ADD REASON"),IF(AND(B605&lt;&gt;"",C605&lt;&gt;"",D605&lt;&gt;"",E605&lt;&gt;"",F605&lt;&gt;"",G605&lt;&gt;"",H605&lt;&gt;"",J605&lt;&gt;"",K605&lt;&gt;"",L605&lt;&gt;"",M605&lt;&gt;"",N605&lt;&gt;"",O605&lt;&gt;"",P605&lt;&gt;"",Q605&lt;&gt;"",R605&lt;&gt;"",S605&lt;&gt;"",T605&lt;&gt;"",U605&lt;&gt;"",V605&lt;&gt;"",W605&lt;&gt;"",X605&lt;&gt;"",Y605&lt;&gt;"",AC605="UNIQUE"),"READY","CHECK")))</f>
        <v/>
      </c>
    </row>
    <row r="606">
      <c r="A606" s="25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37" t="n"/>
      <c r="K606" s="34" t="n"/>
      <c r="L606" s="26" t="n"/>
      <c r="M606" s="37" t="n"/>
      <c r="N606" s="37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34" t="n"/>
      <c r="Y606" s="26" t="n"/>
      <c r="Z606" s="26" t="n"/>
      <c r="AA606" s="26" t="n"/>
      <c r="AB606" s="27" t="n"/>
      <c r="AC606" s="32">
        <f>IF(A606="","",IF(COUNTIF($H$5:$H$1004,H606)&gt;1,"DUPLICATE","UNIQUE"))</f>
        <v/>
      </c>
      <c r="AD606" s="32">
        <f>IF(A606="","",IF(AA606="Rejected",IF(AB606&lt;&gt;"","REJECTED","ADD REASON"),IF(AND(B606&lt;&gt;"",C606&lt;&gt;"",D606&lt;&gt;"",E606&lt;&gt;"",F606&lt;&gt;"",G606&lt;&gt;"",H606&lt;&gt;"",J606&lt;&gt;"",K606&lt;&gt;"",L606&lt;&gt;"",M606&lt;&gt;"",N606&lt;&gt;"",O606&lt;&gt;"",P606&lt;&gt;"",Q606&lt;&gt;"",R606&lt;&gt;"",S606&lt;&gt;"",T606&lt;&gt;"",U606&lt;&gt;"",V606&lt;&gt;"",W606&lt;&gt;"",X606&lt;&gt;"",Y606&lt;&gt;"",AC606="UNIQUE"),"READY","CHECK")))</f>
        <v/>
      </c>
    </row>
    <row r="607">
      <c r="A607" s="25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37" t="n"/>
      <c r="K607" s="34" t="n"/>
      <c r="L607" s="26" t="n"/>
      <c r="M607" s="37" t="n"/>
      <c r="N607" s="37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34" t="n"/>
      <c r="Y607" s="26" t="n"/>
      <c r="Z607" s="26" t="n"/>
      <c r="AA607" s="26" t="n"/>
      <c r="AB607" s="27" t="n"/>
      <c r="AC607" s="32">
        <f>IF(A607="","",IF(COUNTIF($H$5:$H$1004,H607)&gt;1,"DUPLICATE","UNIQUE"))</f>
        <v/>
      </c>
      <c r="AD607" s="32">
        <f>IF(A607="","",IF(AA607="Rejected",IF(AB607&lt;&gt;"","REJECTED","ADD REASON"),IF(AND(B607&lt;&gt;"",C607&lt;&gt;"",D607&lt;&gt;"",E607&lt;&gt;"",F607&lt;&gt;"",G607&lt;&gt;"",H607&lt;&gt;"",J607&lt;&gt;"",K607&lt;&gt;"",L607&lt;&gt;"",M607&lt;&gt;"",N607&lt;&gt;"",O607&lt;&gt;"",P607&lt;&gt;"",Q607&lt;&gt;"",R607&lt;&gt;"",S607&lt;&gt;"",T607&lt;&gt;"",U607&lt;&gt;"",V607&lt;&gt;"",W607&lt;&gt;"",X607&lt;&gt;"",Y607&lt;&gt;"",AC607="UNIQUE"),"READY","CHECK")))</f>
        <v/>
      </c>
    </row>
    <row r="608">
      <c r="A608" s="25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37" t="n"/>
      <c r="K608" s="34" t="n"/>
      <c r="L608" s="26" t="n"/>
      <c r="M608" s="37" t="n"/>
      <c r="N608" s="37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34" t="n"/>
      <c r="Y608" s="26" t="n"/>
      <c r="Z608" s="26" t="n"/>
      <c r="AA608" s="26" t="n"/>
      <c r="AB608" s="27" t="n"/>
      <c r="AC608" s="32">
        <f>IF(A608="","",IF(COUNTIF($H$5:$H$1004,H608)&gt;1,"DUPLICATE","UNIQUE"))</f>
        <v/>
      </c>
      <c r="AD608" s="32">
        <f>IF(A608="","",IF(AA608="Rejected",IF(AB608&lt;&gt;"","REJECTED","ADD REASON"),IF(AND(B608&lt;&gt;"",C608&lt;&gt;"",D608&lt;&gt;"",E608&lt;&gt;"",F608&lt;&gt;"",G608&lt;&gt;"",H608&lt;&gt;"",J608&lt;&gt;"",K608&lt;&gt;"",L608&lt;&gt;"",M608&lt;&gt;"",N608&lt;&gt;"",O608&lt;&gt;"",P608&lt;&gt;"",Q608&lt;&gt;"",R608&lt;&gt;"",S608&lt;&gt;"",T608&lt;&gt;"",U608&lt;&gt;"",V608&lt;&gt;"",W608&lt;&gt;"",X608&lt;&gt;"",Y608&lt;&gt;"",AC608="UNIQUE"),"READY","CHECK")))</f>
        <v/>
      </c>
    </row>
    <row r="609">
      <c r="A609" s="25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37" t="n"/>
      <c r="K609" s="34" t="n"/>
      <c r="L609" s="26" t="n"/>
      <c r="M609" s="37" t="n"/>
      <c r="N609" s="37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34" t="n"/>
      <c r="Y609" s="26" t="n"/>
      <c r="Z609" s="26" t="n"/>
      <c r="AA609" s="26" t="n"/>
      <c r="AB609" s="27" t="n"/>
      <c r="AC609" s="32">
        <f>IF(A609="","",IF(COUNTIF($H$5:$H$1004,H609)&gt;1,"DUPLICATE","UNIQUE"))</f>
        <v/>
      </c>
      <c r="AD609" s="32">
        <f>IF(A609="","",IF(AA609="Rejected",IF(AB609&lt;&gt;"","REJECTED","ADD REASON"),IF(AND(B609&lt;&gt;"",C609&lt;&gt;"",D609&lt;&gt;"",E609&lt;&gt;"",F609&lt;&gt;"",G609&lt;&gt;"",H609&lt;&gt;"",J609&lt;&gt;"",K609&lt;&gt;"",L609&lt;&gt;"",M609&lt;&gt;"",N609&lt;&gt;"",O609&lt;&gt;"",P609&lt;&gt;"",Q609&lt;&gt;"",R609&lt;&gt;"",S609&lt;&gt;"",T609&lt;&gt;"",U609&lt;&gt;"",V609&lt;&gt;"",W609&lt;&gt;"",X609&lt;&gt;"",Y609&lt;&gt;"",AC609="UNIQUE"),"READY","CHECK")))</f>
        <v/>
      </c>
    </row>
    <row r="610">
      <c r="A610" s="25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37" t="n"/>
      <c r="K610" s="34" t="n"/>
      <c r="L610" s="26" t="n"/>
      <c r="M610" s="37" t="n"/>
      <c r="N610" s="37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34" t="n"/>
      <c r="Y610" s="26" t="n"/>
      <c r="Z610" s="26" t="n"/>
      <c r="AA610" s="26" t="n"/>
      <c r="AB610" s="27" t="n"/>
      <c r="AC610" s="32">
        <f>IF(A610="","",IF(COUNTIF($H$5:$H$1004,H610)&gt;1,"DUPLICATE","UNIQUE"))</f>
        <v/>
      </c>
      <c r="AD610" s="32">
        <f>IF(A610="","",IF(AA610="Rejected",IF(AB610&lt;&gt;"","REJECTED","ADD REASON"),IF(AND(B610&lt;&gt;"",C610&lt;&gt;"",D610&lt;&gt;"",E610&lt;&gt;"",F610&lt;&gt;"",G610&lt;&gt;"",H610&lt;&gt;"",J610&lt;&gt;"",K610&lt;&gt;"",L610&lt;&gt;"",M610&lt;&gt;"",N610&lt;&gt;"",O610&lt;&gt;"",P610&lt;&gt;"",Q610&lt;&gt;"",R610&lt;&gt;"",S610&lt;&gt;"",T610&lt;&gt;"",U610&lt;&gt;"",V610&lt;&gt;"",W610&lt;&gt;"",X610&lt;&gt;"",Y610&lt;&gt;"",AC610="UNIQUE"),"READY","CHECK")))</f>
        <v/>
      </c>
    </row>
    <row r="611">
      <c r="A611" s="25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37" t="n"/>
      <c r="K611" s="34" t="n"/>
      <c r="L611" s="26" t="n"/>
      <c r="M611" s="37" t="n"/>
      <c r="N611" s="37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34" t="n"/>
      <c r="Y611" s="26" t="n"/>
      <c r="Z611" s="26" t="n"/>
      <c r="AA611" s="26" t="n"/>
      <c r="AB611" s="27" t="n"/>
      <c r="AC611" s="32">
        <f>IF(A611="","",IF(COUNTIF($H$5:$H$1004,H611)&gt;1,"DUPLICATE","UNIQUE"))</f>
        <v/>
      </c>
      <c r="AD611" s="32">
        <f>IF(A611="","",IF(AA611="Rejected",IF(AB611&lt;&gt;"","REJECTED","ADD REASON"),IF(AND(B611&lt;&gt;"",C611&lt;&gt;"",D611&lt;&gt;"",E611&lt;&gt;"",F611&lt;&gt;"",G611&lt;&gt;"",H611&lt;&gt;"",J611&lt;&gt;"",K611&lt;&gt;"",L611&lt;&gt;"",M611&lt;&gt;"",N611&lt;&gt;"",O611&lt;&gt;"",P611&lt;&gt;"",Q611&lt;&gt;"",R611&lt;&gt;"",S611&lt;&gt;"",T611&lt;&gt;"",U611&lt;&gt;"",V611&lt;&gt;"",W611&lt;&gt;"",X611&lt;&gt;"",Y611&lt;&gt;"",AC611="UNIQUE"),"READY","CHECK")))</f>
        <v/>
      </c>
    </row>
    <row r="612">
      <c r="A612" s="25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37" t="n"/>
      <c r="K612" s="34" t="n"/>
      <c r="L612" s="26" t="n"/>
      <c r="M612" s="37" t="n"/>
      <c r="N612" s="37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34" t="n"/>
      <c r="Y612" s="26" t="n"/>
      <c r="Z612" s="26" t="n"/>
      <c r="AA612" s="26" t="n"/>
      <c r="AB612" s="27" t="n"/>
      <c r="AC612" s="32">
        <f>IF(A612="","",IF(COUNTIF($H$5:$H$1004,H612)&gt;1,"DUPLICATE","UNIQUE"))</f>
        <v/>
      </c>
      <c r="AD612" s="32">
        <f>IF(A612="","",IF(AA612="Rejected",IF(AB612&lt;&gt;"","REJECTED","ADD REASON"),IF(AND(B612&lt;&gt;"",C612&lt;&gt;"",D612&lt;&gt;"",E612&lt;&gt;"",F612&lt;&gt;"",G612&lt;&gt;"",H612&lt;&gt;"",J612&lt;&gt;"",K612&lt;&gt;"",L612&lt;&gt;"",M612&lt;&gt;"",N612&lt;&gt;"",O612&lt;&gt;"",P612&lt;&gt;"",Q612&lt;&gt;"",R612&lt;&gt;"",S612&lt;&gt;"",T612&lt;&gt;"",U612&lt;&gt;"",V612&lt;&gt;"",W612&lt;&gt;"",X612&lt;&gt;"",Y612&lt;&gt;"",AC612="UNIQUE"),"READY","CHECK")))</f>
        <v/>
      </c>
    </row>
    <row r="613">
      <c r="A613" s="25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37" t="n"/>
      <c r="K613" s="34" t="n"/>
      <c r="L613" s="26" t="n"/>
      <c r="M613" s="37" t="n"/>
      <c r="N613" s="37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34" t="n"/>
      <c r="Y613" s="26" t="n"/>
      <c r="Z613" s="26" t="n"/>
      <c r="AA613" s="26" t="n"/>
      <c r="AB613" s="27" t="n"/>
      <c r="AC613" s="32">
        <f>IF(A613="","",IF(COUNTIF($H$5:$H$1004,H613)&gt;1,"DUPLICATE","UNIQUE"))</f>
        <v/>
      </c>
      <c r="AD613" s="32">
        <f>IF(A613="","",IF(AA613="Rejected",IF(AB613&lt;&gt;"","REJECTED","ADD REASON"),IF(AND(B613&lt;&gt;"",C613&lt;&gt;"",D613&lt;&gt;"",E613&lt;&gt;"",F613&lt;&gt;"",G613&lt;&gt;"",H613&lt;&gt;"",J613&lt;&gt;"",K613&lt;&gt;"",L613&lt;&gt;"",M613&lt;&gt;"",N613&lt;&gt;"",O613&lt;&gt;"",P613&lt;&gt;"",Q613&lt;&gt;"",R613&lt;&gt;"",S613&lt;&gt;"",T613&lt;&gt;"",U613&lt;&gt;"",V613&lt;&gt;"",W613&lt;&gt;"",X613&lt;&gt;"",Y613&lt;&gt;"",AC613="UNIQUE"),"READY","CHECK")))</f>
        <v/>
      </c>
    </row>
    <row r="614">
      <c r="A614" s="25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37" t="n"/>
      <c r="K614" s="34" t="n"/>
      <c r="L614" s="26" t="n"/>
      <c r="M614" s="37" t="n"/>
      <c r="N614" s="37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34" t="n"/>
      <c r="Y614" s="26" t="n"/>
      <c r="Z614" s="26" t="n"/>
      <c r="AA614" s="26" t="n"/>
      <c r="AB614" s="27" t="n"/>
      <c r="AC614" s="32">
        <f>IF(A614="","",IF(COUNTIF($H$5:$H$1004,H614)&gt;1,"DUPLICATE","UNIQUE"))</f>
        <v/>
      </c>
      <c r="AD614" s="32">
        <f>IF(A614="","",IF(AA614="Rejected",IF(AB614&lt;&gt;"","REJECTED","ADD REASON"),IF(AND(B614&lt;&gt;"",C614&lt;&gt;"",D614&lt;&gt;"",E614&lt;&gt;"",F614&lt;&gt;"",G614&lt;&gt;"",H614&lt;&gt;"",J614&lt;&gt;"",K614&lt;&gt;"",L614&lt;&gt;"",M614&lt;&gt;"",N614&lt;&gt;"",O614&lt;&gt;"",P614&lt;&gt;"",Q614&lt;&gt;"",R614&lt;&gt;"",S614&lt;&gt;"",T614&lt;&gt;"",U614&lt;&gt;"",V614&lt;&gt;"",W614&lt;&gt;"",X614&lt;&gt;"",Y614&lt;&gt;"",AC614="UNIQUE"),"READY","CHECK")))</f>
        <v/>
      </c>
    </row>
    <row r="615">
      <c r="A615" s="25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37" t="n"/>
      <c r="K615" s="34" t="n"/>
      <c r="L615" s="26" t="n"/>
      <c r="M615" s="37" t="n"/>
      <c r="N615" s="37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34" t="n"/>
      <c r="Y615" s="26" t="n"/>
      <c r="Z615" s="26" t="n"/>
      <c r="AA615" s="26" t="n"/>
      <c r="AB615" s="27" t="n"/>
      <c r="AC615" s="32">
        <f>IF(A615="","",IF(COUNTIF($H$5:$H$1004,H615)&gt;1,"DUPLICATE","UNIQUE"))</f>
        <v/>
      </c>
      <c r="AD615" s="32">
        <f>IF(A615="","",IF(AA615="Rejected",IF(AB615&lt;&gt;"","REJECTED","ADD REASON"),IF(AND(B615&lt;&gt;"",C615&lt;&gt;"",D615&lt;&gt;"",E615&lt;&gt;"",F615&lt;&gt;"",G615&lt;&gt;"",H615&lt;&gt;"",J615&lt;&gt;"",K615&lt;&gt;"",L615&lt;&gt;"",M615&lt;&gt;"",N615&lt;&gt;"",O615&lt;&gt;"",P615&lt;&gt;"",Q615&lt;&gt;"",R615&lt;&gt;"",S615&lt;&gt;"",T615&lt;&gt;"",U615&lt;&gt;"",V615&lt;&gt;"",W615&lt;&gt;"",X615&lt;&gt;"",Y615&lt;&gt;"",AC615="UNIQUE"),"READY","CHECK")))</f>
        <v/>
      </c>
    </row>
    <row r="616">
      <c r="A616" s="25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37" t="n"/>
      <c r="K616" s="34" t="n"/>
      <c r="L616" s="26" t="n"/>
      <c r="M616" s="37" t="n"/>
      <c r="N616" s="37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34" t="n"/>
      <c r="Y616" s="26" t="n"/>
      <c r="Z616" s="26" t="n"/>
      <c r="AA616" s="26" t="n"/>
      <c r="AB616" s="27" t="n"/>
      <c r="AC616" s="32">
        <f>IF(A616="","",IF(COUNTIF($H$5:$H$1004,H616)&gt;1,"DUPLICATE","UNIQUE"))</f>
        <v/>
      </c>
      <c r="AD616" s="32">
        <f>IF(A616="","",IF(AA616="Rejected",IF(AB616&lt;&gt;"","REJECTED","ADD REASON"),IF(AND(B616&lt;&gt;"",C616&lt;&gt;"",D616&lt;&gt;"",E616&lt;&gt;"",F616&lt;&gt;"",G616&lt;&gt;"",H616&lt;&gt;"",J616&lt;&gt;"",K616&lt;&gt;"",L616&lt;&gt;"",M616&lt;&gt;"",N616&lt;&gt;"",O616&lt;&gt;"",P616&lt;&gt;"",Q616&lt;&gt;"",R616&lt;&gt;"",S616&lt;&gt;"",T616&lt;&gt;"",U616&lt;&gt;"",V616&lt;&gt;"",W616&lt;&gt;"",X616&lt;&gt;"",Y616&lt;&gt;"",AC616="UNIQUE"),"READY","CHECK")))</f>
        <v/>
      </c>
    </row>
    <row r="617">
      <c r="A617" s="25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37" t="n"/>
      <c r="K617" s="34" t="n"/>
      <c r="L617" s="26" t="n"/>
      <c r="M617" s="37" t="n"/>
      <c r="N617" s="37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34" t="n"/>
      <c r="Y617" s="26" t="n"/>
      <c r="Z617" s="26" t="n"/>
      <c r="AA617" s="26" t="n"/>
      <c r="AB617" s="27" t="n"/>
      <c r="AC617" s="32">
        <f>IF(A617="","",IF(COUNTIF($H$5:$H$1004,H617)&gt;1,"DUPLICATE","UNIQUE"))</f>
        <v/>
      </c>
      <c r="AD617" s="32">
        <f>IF(A617="","",IF(AA617="Rejected",IF(AB617&lt;&gt;"","REJECTED","ADD REASON"),IF(AND(B617&lt;&gt;"",C617&lt;&gt;"",D617&lt;&gt;"",E617&lt;&gt;"",F617&lt;&gt;"",G617&lt;&gt;"",H617&lt;&gt;"",J617&lt;&gt;"",K617&lt;&gt;"",L617&lt;&gt;"",M617&lt;&gt;"",N617&lt;&gt;"",O617&lt;&gt;"",P617&lt;&gt;"",Q617&lt;&gt;"",R617&lt;&gt;"",S617&lt;&gt;"",T617&lt;&gt;"",U617&lt;&gt;"",V617&lt;&gt;"",W617&lt;&gt;"",X617&lt;&gt;"",Y617&lt;&gt;"",AC617="UNIQUE"),"READY","CHECK")))</f>
        <v/>
      </c>
    </row>
    <row r="618">
      <c r="A618" s="25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37" t="n"/>
      <c r="K618" s="34" t="n"/>
      <c r="L618" s="26" t="n"/>
      <c r="M618" s="37" t="n"/>
      <c r="N618" s="37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34" t="n"/>
      <c r="Y618" s="26" t="n"/>
      <c r="Z618" s="26" t="n"/>
      <c r="AA618" s="26" t="n"/>
      <c r="AB618" s="27" t="n"/>
      <c r="AC618" s="32">
        <f>IF(A618="","",IF(COUNTIF($H$5:$H$1004,H618)&gt;1,"DUPLICATE","UNIQUE"))</f>
        <v/>
      </c>
      <c r="AD618" s="32">
        <f>IF(A618="","",IF(AA618="Rejected",IF(AB618&lt;&gt;"","REJECTED","ADD REASON"),IF(AND(B618&lt;&gt;"",C618&lt;&gt;"",D618&lt;&gt;"",E618&lt;&gt;"",F618&lt;&gt;"",G618&lt;&gt;"",H618&lt;&gt;"",J618&lt;&gt;"",K618&lt;&gt;"",L618&lt;&gt;"",M618&lt;&gt;"",N618&lt;&gt;"",O618&lt;&gt;"",P618&lt;&gt;"",Q618&lt;&gt;"",R618&lt;&gt;"",S618&lt;&gt;"",T618&lt;&gt;"",U618&lt;&gt;"",V618&lt;&gt;"",W618&lt;&gt;"",X618&lt;&gt;"",Y618&lt;&gt;"",AC618="UNIQUE"),"READY","CHECK")))</f>
        <v/>
      </c>
    </row>
    <row r="619">
      <c r="A619" s="25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37" t="n"/>
      <c r="K619" s="34" t="n"/>
      <c r="L619" s="26" t="n"/>
      <c r="M619" s="37" t="n"/>
      <c r="N619" s="37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34" t="n"/>
      <c r="Y619" s="26" t="n"/>
      <c r="Z619" s="26" t="n"/>
      <c r="AA619" s="26" t="n"/>
      <c r="AB619" s="27" t="n"/>
      <c r="AC619" s="32">
        <f>IF(A619="","",IF(COUNTIF($H$5:$H$1004,H619)&gt;1,"DUPLICATE","UNIQUE"))</f>
        <v/>
      </c>
      <c r="AD619" s="32">
        <f>IF(A619="","",IF(AA619="Rejected",IF(AB619&lt;&gt;"","REJECTED","ADD REASON"),IF(AND(B619&lt;&gt;"",C619&lt;&gt;"",D619&lt;&gt;"",E619&lt;&gt;"",F619&lt;&gt;"",G619&lt;&gt;"",H619&lt;&gt;"",J619&lt;&gt;"",K619&lt;&gt;"",L619&lt;&gt;"",M619&lt;&gt;"",N619&lt;&gt;"",O619&lt;&gt;"",P619&lt;&gt;"",Q619&lt;&gt;"",R619&lt;&gt;"",S619&lt;&gt;"",T619&lt;&gt;"",U619&lt;&gt;"",V619&lt;&gt;"",W619&lt;&gt;"",X619&lt;&gt;"",Y619&lt;&gt;"",AC619="UNIQUE"),"READY","CHECK")))</f>
        <v/>
      </c>
    </row>
    <row r="620">
      <c r="A620" s="25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37" t="n"/>
      <c r="K620" s="34" t="n"/>
      <c r="L620" s="26" t="n"/>
      <c r="M620" s="37" t="n"/>
      <c r="N620" s="37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34" t="n"/>
      <c r="Y620" s="26" t="n"/>
      <c r="Z620" s="26" t="n"/>
      <c r="AA620" s="26" t="n"/>
      <c r="AB620" s="27" t="n"/>
      <c r="AC620" s="32">
        <f>IF(A620="","",IF(COUNTIF($H$5:$H$1004,H620)&gt;1,"DUPLICATE","UNIQUE"))</f>
        <v/>
      </c>
      <c r="AD620" s="32">
        <f>IF(A620="","",IF(AA620="Rejected",IF(AB620&lt;&gt;"","REJECTED","ADD REASON"),IF(AND(B620&lt;&gt;"",C620&lt;&gt;"",D620&lt;&gt;"",E620&lt;&gt;"",F620&lt;&gt;"",G620&lt;&gt;"",H620&lt;&gt;"",J620&lt;&gt;"",K620&lt;&gt;"",L620&lt;&gt;"",M620&lt;&gt;"",N620&lt;&gt;"",O620&lt;&gt;"",P620&lt;&gt;"",Q620&lt;&gt;"",R620&lt;&gt;"",S620&lt;&gt;"",T620&lt;&gt;"",U620&lt;&gt;"",V620&lt;&gt;"",W620&lt;&gt;"",X620&lt;&gt;"",Y620&lt;&gt;"",AC620="UNIQUE"),"READY","CHECK")))</f>
        <v/>
      </c>
    </row>
    <row r="621">
      <c r="A621" s="25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37" t="n"/>
      <c r="K621" s="34" t="n"/>
      <c r="L621" s="26" t="n"/>
      <c r="M621" s="37" t="n"/>
      <c r="N621" s="37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34" t="n"/>
      <c r="Y621" s="26" t="n"/>
      <c r="Z621" s="26" t="n"/>
      <c r="AA621" s="26" t="n"/>
      <c r="AB621" s="27" t="n"/>
      <c r="AC621" s="32">
        <f>IF(A621="","",IF(COUNTIF($H$5:$H$1004,H621)&gt;1,"DUPLICATE","UNIQUE"))</f>
        <v/>
      </c>
      <c r="AD621" s="32">
        <f>IF(A621="","",IF(AA621="Rejected",IF(AB621&lt;&gt;"","REJECTED","ADD REASON"),IF(AND(B621&lt;&gt;"",C621&lt;&gt;"",D621&lt;&gt;"",E621&lt;&gt;"",F621&lt;&gt;"",G621&lt;&gt;"",H621&lt;&gt;"",J621&lt;&gt;"",K621&lt;&gt;"",L621&lt;&gt;"",M621&lt;&gt;"",N621&lt;&gt;"",O621&lt;&gt;"",P621&lt;&gt;"",Q621&lt;&gt;"",R621&lt;&gt;"",S621&lt;&gt;"",T621&lt;&gt;"",U621&lt;&gt;"",V621&lt;&gt;"",W621&lt;&gt;"",X621&lt;&gt;"",Y621&lt;&gt;"",AC621="UNIQUE"),"READY","CHECK")))</f>
        <v/>
      </c>
    </row>
    <row r="622">
      <c r="A622" s="25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37" t="n"/>
      <c r="K622" s="34" t="n"/>
      <c r="L622" s="26" t="n"/>
      <c r="M622" s="37" t="n"/>
      <c r="N622" s="37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34" t="n"/>
      <c r="Y622" s="26" t="n"/>
      <c r="Z622" s="26" t="n"/>
      <c r="AA622" s="26" t="n"/>
      <c r="AB622" s="27" t="n"/>
      <c r="AC622" s="32">
        <f>IF(A622="","",IF(COUNTIF($H$5:$H$1004,H622)&gt;1,"DUPLICATE","UNIQUE"))</f>
        <v/>
      </c>
      <c r="AD622" s="32">
        <f>IF(A622="","",IF(AA622="Rejected",IF(AB622&lt;&gt;"","REJECTED","ADD REASON"),IF(AND(B622&lt;&gt;"",C622&lt;&gt;"",D622&lt;&gt;"",E622&lt;&gt;"",F622&lt;&gt;"",G622&lt;&gt;"",H622&lt;&gt;"",J622&lt;&gt;"",K622&lt;&gt;"",L622&lt;&gt;"",M622&lt;&gt;"",N622&lt;&gt;"",O622&lt;&gt;"",P622&lt;&gt;"",Q622&lt;&gt;"",R622&lt;&gt;"",S622&lt;&gt;"",T622&lt;&gt;"",U622&lt;&gt;"",V622&lt;&gt;"",W622&lt;&gt;"",X622&lt;&gt;"",Y622&lt;&gt;"",AC622="UNIQUE"),"READY","CHECK")))</f>
        <v/>
      </c>
    </row>
    <row r="623">
      <c r="A623" s="25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37" t="n"/>
      <c r="K623" s="34" t="n"/>
      <c r="L623" s="26" t="n"/>
      <c r="M623" s="37" t="n"/>
      <c r="N623" s="37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34" t="n"/>
      <c r="Y623" s="26" t="n"/>
      <c r="Z623" s="26" t="n"/>
      <c r="AA623" s="26" t="n"/>
      <c r="AB623" s="27" t="n"/>
      <c r="AC623" s="32">
        <f>IF(A623="","",IF(COUNTIF($H$5:$H$1004,H623)&gt;1,"DUPLICATE","UNIQUE"))</f>
        <v/>
      </c>
      <c r="AD623" s="32">
        <f>IF(A623="","",IF(AA623="Rejected",IF(AB623&lt;&gt;"","REJECTED","ADD REASON"),IF(AND(B623&lt;&gt;"",C623&lt;&gt;"",D623&lt;&gt;"",E623&lt;&gt;"",F623&lt;&gt;"",G623&lt;&gt;"",H623&lt;&gt;"",J623&lt;&gt;"",K623&lt;&gt;"",L623&lt;&gt;"",M623&lt;&gt;"",N623&lt;&gt;"",O623&lt;&gt;"",P623&lt;&gt;"",Q623&lt;&gt;"",R623&lt;&gt;"",S623&lt;&gt;"",T623&lt;&gt;"",U623&lt;&gt;"",V623&lt;&gt;"",W623&lt;&gt;"",X623&lt;&gt;"",Y623&lt;&gt;"",AC623="UNIQUE"),"READY","CHECK")))</f>
        <v/>
      </c>
    </row>
    <row r="624">
      <c r="A624" s="25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37" t="n"/>
      <c r="K624" s="34" t="n"/>
      <c r="L624" s="26" t="n"/>
      <c r="M624" s="37" t="n"/>
      <c r="N624" s="37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34" t="n"/>
      <c r="Y624" s="26" t="n"/>
      <c r="Z624" s="26" t="n"/>
      <c r="AA624" s="26" t="n"/>
      <c r="AB624" s="27" t="n"/>
      <c r="AC624" s="32">
        <f>IF(A624="","",IF(COUNTIF($H$5:$H$1004,H624)&gt;1,"DUPLICATE","UNIQUE"))</f>
        <v/>
      </c>
      <c r="AD624" s="32">
        <f>IF(A624="","",IF(AA624="Rejected",IF(AB624&lt;&gt;"","REJECTED","ADD REASON"),IF(AND(B624&lt;&gt;"",C624&lt;&gt;"",D624&lt;&gt;"",E624&lt;&gt;"",F624&lt;&gt;"",G624&lt;&gt;"",H624&lt;&gt;"",J624&lt;&gt;"",K624&lt;&gt;"",L624&lt;&gt;"",M624&lt;&gt;"",N624&lt;&gt;"",O624&lt;&gt;"",P624&lt;&gt;"",Q624&lt;&gt;"",R624&lt;&gt;"",S624&lt;&gt;"",T624&lt;&gt;"",U624&lt;&gt;"",V624&lt;&gt;"",W624&lt;&gt;"",X624&lt;&gt;"",Y624&lt;&gt;"",AC624="UNIQUE"),"READY","CHECK")))</f>
        <v/>
      </c>
    </row>
    <row r="625">
      <c r="A625" s="25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37" t="n"/>
      <c r="K625" s="34" t="n"/>
      <c r="L625" s="26" t="n"/>
      <c r="M625" s="37" t="n"/>
      <c r="N625" s="37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34" t="n"/>
      <c r="Y625" s="26" t="n"/>
      <c r="Z625" s="26" t="n"/>
      <c r="AA625" s="26" t="n"/>
      <c r="AB625" s="27" t="n"/>
      <c r="AC625" s="32">
        <f>IF(A625="","",IF(COUNTIF($H$5:$H$1004,H625)&gt;1,"DUPLICATE","UNIQUE"))</f>
        <v/>
      </c>
      <c r="AD625" s="32">
        <f>IF(A625="","",IF(AA625="Rejected",IF(AB625&lt;&gt;"","REJECTED","ADD REASON"),IF(AND(B625&lt;&gt;"",C625&lt;&gt;"",D625&lt;&gt;"",E625&lt;&gt;"",F625&lt;&gt;"",G625&lt;&gt;"",H625&lt;&gt;"",J625&lt;&gt;"",K625&lt;&gt;"",L625&lt;&gt;"",M625&lt;&gt;"",N625&lt;&gt;"",O625&lt;&gt;"",P625&lt;&gt;"",Q625&lt;&gt;"",R625&lt;&gt;"",S625&lt;&gt;"",T625&lt;&gt;"",U625&lt;&gt;"",V625&lt;&gt;"",W625&lt;&gt;"",X625&lt;&gt;"",Y625&lt;&gt;"",AC625="UNIQUE"),"READY","CHECK")))</f>
        <v/>
      </c>
    </row>
    <row r="626">
      <c r="A626" s="25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37" t="n"/>
      <c r="K626" s="34" t="n"/>
      <c r="L626" s="26" t="n"/>
      <c r="M626" s="37" t="n"/>
      <c r="N626" s="37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34" t="n"/>
      <c r="Y626" s="26" t="n"/>
      <c r="Z626" s="26" t="n"/>
      <c r="AA626" s="26" t="n"/>
      <c r="AB626" s="27" t="n"/>
      <c r="AC626" s="32">
        <f>IF(A626="","",IF(COUNTIF($H$5:$H$1004,H626)&gt;1,"DUPLICATE","UNIQUE"))</f>
        <v/>
      </c>
      <c r="AD626" s="32">
        <f>IF(A626="","",IF(AA626="Rejected",IF(AB626&lt;&gt;"","REJECTED","ADD REASON"),IF(AND(B626&lt;&gt;"",C626&lt;&gt;"",D626&lt;&gt;"",E626&lt;&gt;"",F626&lt;&gt;"",G626&lt;&gt;"",H626&lt;&gt;"",J626&lt;&gt;"",K626&lt;&gt;"",L626&lt;&gt;"",M626&lt;&gt;"",N626&lt;&gt;"",O626&lt;&gt;"",P626&lt;&gt;"",Q626&lt;&gt;"",R626&lt;&gt;"",S626&lt;&gt;"",T626&lt;&gt;"",U626&lt;&gt;"",V626&lt;&gt;"",W626&lt;&gt;"",X626&lt;&gt;"",Y626&lt;&gt;"",AC626="UNIQUE"),"READY","CHECK")))</f>
        <v/>
      </c>
    </row>
    <row r="627">
      <c r="A627" s="25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37" t="n"/>
      <c r="K627" s="34" t="n"/>
      <c r="L627" s="26" t="n"/>
      <c r="M627" s="37" t="n"/>
      <c r="N627" s="37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34" t="n"/>
      <c r="Y627" s="26" t="n"/>
      <c r="Z627" s="26" t="n"/>
      <c r="AA627" s="26" t="n"/>
      <c r="AB627" s="27" t="n"/>
      <c r="AC627" s="32">
        <f>IF(A627="","",IF(COUNTIF($H$5:$H$1004,H627)&gt;1,"DUPLICATE","UNIQUE"))</f>
        <v/>
      </c>
      <c r="AD627" s="32">
        <f>IF(A627="","",IF(AA627="Rejected",IF(AB627&lt;&gt;"","REJECTED","ADD REASON"),IF(AND(B627&lt;&gt;"",C627&lt;&gt;"",D627&lt;&gt;"",E627&lt;&gt;"",F627&lt;&gt;"",G627&lt;&gt;"",H627&lt;&gt;"",J627&lt;&gt;"",K627&lt;&gt;"",L627&lt;&gt;"",M627&lt;&gt;"",N627&lt;&gt;"",O627&lt;&gt;"",P627&lt;&gt;"",Q627&lt;&gt;"",R627&lt;&gt;"",S627&lt;&gt;"",T627&lt;&gt;"",U627&lt;&gt;"",V627&lt;&gt;"",W627&lt;&gt;"",X627&lt;&gt;"",Y627&lt;&gt;"",AC627="UNIQUE"),"READY","CHECK")))</f>
        <v/>
      </c>
    </row>
    <row r="628">
      <c r="A628" s="25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37" t="n"/>
      <c r="K628" s="34" t="n"/>
      <c r="L628" s="26" t="n"/>
      <c r="M628" s="37" t="n"/>
      <c r="N628" s="37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34" t="n"/>
      <c r="Y628" s="26" t="n"/>
      <c r="Z628" s="26" t="n"/>
      <c r="AA628" s="26" t="n"/>
      <c r="AB628" s="27" t="n"/>
      <c r="AC628" s="32">
        <f>IF(A628="","",IF(COUNTIF($H$5:$H$1004,H628)&gt;1,"DUPLICATE","UNIQUE"))</f>
        <v/>
      </c>
      <c r="AD628" s="32">
        <f>IF(A628="","",IF(AA628="Rejected",IF(AB628&lt;&gt;"","REJECTED","ADD REASON"),IF(AND(B628&lt;&gt;"",C628&lt;&gt;"",D628&lt;&gt;"",E628&lt;&gt;"",F628&lt;&gt;"",G628&lt;&gt;"",H628&lt;&gt;"",J628&lt;&gt;"",K628&lt;&gt;"",L628&lt;&gt;"",M628&lt;&gt;"",N628&lt;&gt;"",O628&lt;&gt;"",P628&lt;&gt;"",Q628&lt;&gt;"",R628&lt;&gt;"",S628&lt;&gt;"",T628&lt;&gt;"",U628&lt;&gt;"",V628&lt;&gt;"",W628&lt;&gt;"",X628&lt;&gt;"",Y628&lt;&gt;"",AC628="UNIQUE"),"READY","CHECK")))</f>
        <v/>
      </c>
    </row>
    <row r="629">
      <c r="A629" s="25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37" t="n"/>
      <c r="K629" s="34" t="n"/>
      <c r="L629" s="26" t="n"/>
      <c r="M629" s="37" t="n"/>
      <c r="N629" s="37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34" t="n"/>
      <c r="Y629" s="26" t="n"/>
      <c r="Z629" s="26" t="n"/>
      <c r="AA629" s="26" t="n"/>
      <c r="AB629" s="27" t="n"/>
      <c r="AC629" s="32">
        <f>IF(A629="","",IF(COUNTIF($H$5:$H$1004,H629)&gt;1,"DUPLICATE","UNIQUE"))</f>
        <v/>
      </c>
      <c r="AD629" s="32">
        <f>IF(A629="","",IF(AA629="Rejected",IF(AB629&lt;&gt;"","REJECTED","ADD REASON"),IF(AND(B629&lt;&gt;"",C629&lt;&gt;"",D629&lt;&gt;"",E629&lt;&gt;"",F629&lt;&gt;"",G629&lt;&gt;"",H629&lt;&gt;"",J629&lt;&gt;"",K629&lt;&gt;"",L629&lt;&gt;"",M629&lt;&gt;"",N629&lt;&gt;"",O629&lt;&gt;"",P629&lt;&gt;"",Q629&lt;&gt;"",R629&lt;&gt;"",S629&lt;&gt;"",T629&lt;&gt;"",U629&lt;&gt;"",V629&lt;&gt;"",W629&lt;&gt;"",X629&lt;&gt;"",Y629&lt;&gt;"",AC629="UNIQUE"),"READY","CHECK")))</f>
        <v/>
      </c>
    </row>
    <row r="630">
      <c r="A630" s="25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37" t="n"/>
      <c r="K630" s="34" t="n"/>
      <c r="L630" s="26" t="n"/>
      <c r="M630" s="37" t="n"/>
      <c r="N630" s="37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34" t="n"/>
      <c r="Y630" s="26" t="n"/>
      <c r="Z630" s="26" t="n"/>
      <c r="AA630" s="26" t="n"/>
      <c r="AB630" s="27" t="n"/>
      <c r="AC630" s="32">
        <f>IF(A630="","",IF(COUNTIF($H$5:$H$1004,H630)&gt;1,"DUPLICATE","UNIQUE"))</f>
        <v/>
      </c>
      <c r="AD630" s="32">
        <f>IF(A630="","",IF(AA630="Rejected",IF(AB630&lt;&gt;"","REJECTED","ADD REASON"),IF(AND(B630&lt;&gt;"",C630&lt;&gt;"",D630&lt;&gt;"",E630&lt;&gt;"",F630&lt;&gt;"",G630&lt;&gt;"",H630&lt;&gt;"",J630&lt;&gt;"",K630&lt;&gt;"",L630&lt;&gt;"",M630&lt;&gt;"",N630&lt;&gt;"",O630&lt;&gt;"",P630&lt;&gt;"",Q630&lt;&gt;"",R630&lt;&gt;"",S630&lt;&gt;"",T630&lt;&gt;"",U630&lt;&gt;"",V630&lt;&gt;"",W630&lt;&gt;"",X630&lt;&gt;"",Y630&lt;&gt;"",AC630="UNIQUE"),"READY","CHECK")))</f>
        <v/>
      </c>
    </row>
    <row r="631">
      <c r="A631" s="25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37" t="n"/>
      <c r="K631" s="34" t="n"/>
      <c r="L631" s="26" t="n"/>
      <c r="M631" s="37" t="n"/>
      <c r="N631" s="37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34" t="n"/>
      <c r="Y631" s="26" t="n"/>
      <c r="Z631" s="26" t="n"/>
      <c r="AA631" s="26" t="n"/>
      <c r="AB631" s="27" t="n"/>
      <c r="AC631" s="32">
        <f>IF(A631="","",IF(COUNTIF($H$5:$H$1004,H631)&gt;1,"DUPLICATE","UNIQUE"))</f>
        <v/>
      </c>
      <c r="AD631" s="32">
        <f>IF(A631="","",IF(AA631="Rejected",IF(AB631&lt;&gt;"","REJECTED","ADD REASON"),IF(AND(B631&lt;&gt;"",C631&lt;&gt;"",D631&lt;&gt;"",E631&lt;&gt;"",F631&lt;&gt;"",G631&lt;&gt;"",H631&lt;&gt;"",J631&lt;&gt;"",K631&lt;&gt;"",L631&lt;&gt;"",M631&lt;&gt;"",N631&lt;&gt;"",O631&lt;&gt;"",P631&lt;&gt;"",Q631&lt;&gt;"",R631&lt;&gt;"",S631&lt;&gt;"",T631&lt;&gt;"",U631&lt;&gt;"",V631&lt;&gt;"",W631&lt;&gt;"",X631&lt;&gt;"",Y631&lt;&gt;"",AC631="UNIQUE"),"READY","CHECK")))</f>
        <v/>
      </c>
    </row>
    <row r="632">
      <c r="A632" s="25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37" t="n"/>
      <c r="K632" s="34" t="n"/>
      <c r="L632" s="26" t="n"/>
      <c r="M632" s="37" t="n"/>
      <c r="N632" s="37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34" t="n"/>
      <c r="Y632" s="26" t="n"/>
      <c r="Z632" s="26" t="n"/>
      <c r="AA632" s="26" t="n"/>
      <c r="AB632" s="27" t="n"/>
      <c r="AC632" s="32">
        <f>IF(A632="","",IF(COUNTIF($H$5:$H$1004,H632)&gt;1,"DUPLICATE","UNIQUE"))</f>
        <v/>
      </c>
      <c r="AD632" s="32">
        <f>IF(A632="","",IF(AA632="Rejected",IF(AB632&lt;&gt;"","REJECTED","ADD REASON"),IF(AND(B632&lt;&gt;"",C632&lt;&gt;"",D632&lt;&gt;"",E632&lt;&gt;"",F632&lt;&gt;"",G632&lt;&gt;"",H632&lt;&gt;"",J632&lt;&gt;"",K632&lt;&gt;"",L632&lt;&gt;"",M632&lt;&gt;"",N632&lt;&gt;"",O632&lt;&gt;"",P632&lt;&gt;"",Q632&lt;&gt;"",R632&lt;&gt;"",S632&lt;&gt;"",T632&lt;&gt;"",U632&lt;&gt;"",V632&lt;&gt;"",W632&lt;&gt;"",X632&lt;&gt;"",Y632&lt;&gt;"",AC632="UNIQUE"),"READY","CHECK")))</f>
        <v/>
      </c>
    </row>
    <row r="633">
      <c r="A633" s="25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37" t="n"/>
      <c r="K633" s="34" t="n"/>
      <c r="L633" s="26" t="n"/>
      <c r="M633" s="37" t="n"/>
      <c r="N633" s="37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34" t="n"/>
      <c r="Y633" s="26" t="n"/>
      <c r="Z633" s="26" t="n"/>
      <c r="AA633" s="26" t="n"/>
      <c r="AB633" s="27" t="n"/>
      <c r="AC633" s="32">
        <f>IF(A633="","",IF(COUNTIF($H$5:$H$1004,H633)&gt;1,"DUPLICATE","UNIQUE"))</f>
        <v/>
      </c>
      <c r="AD633" s="32">
        <f>IF(A633="","",IF(AA633="Rejected",IF(AB633&lt;&gt;"","REJECTED","ADD REASON"),IF(AND(B633&lt;&gt;"",C633&lt;&gt;"",D633&lt;&gt;"",E633&lt;&gt;"",F633&lt;&gt;"",G633&lt;&gt;"",H633&lt;&gt;"",J633&lt;&gt;"",K633&lt;&gt;"",L633&lt;&gt;"",M633&lt;&gt;"",N633&lt;&gt;"",O633&lt;&gt;"",P633&lt;&gt;"",Q633&lt;&gt;"",R633&lt;&gt;"",S633&lt;&gt;"",T633&lt;&gt;"",U633&lt;&gt;"",V633&lt;&gt;"",W633&lt;&gt;"",X633&lt;&gt;"",Y633&lt;&gt;"",AC633="UNIQUE"),"READY","CHECK")))</f>
        <v/>
      </c>
    </row>
    <row r="634">
      <c r="A634" s="25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37" t="n"/>
      <c r="K634" s="34" t="n"/>
      <c r="L634" s="26" t="n"/>
      <c r="M634" s="37" t="n"/>
      <c r="N634" s="37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34" t="n"/>
      <c r="Y634" s="26" t="n"/>
      <c r="Z634" s="26" t="n"/>
      <c r="AA634" s="26" t="n"/>
      <c r="AB634" s="27" t="n"/>
      <c r="AC634" s="32">
        <f>IF(A634="","",IF(COUNTIF($H$5:$H$1004,H634)&gt;1,"DUPLICATE","UNIQUE"))</f>
        <v/>
      </c>
      <c r="AD634" s="32">
        <f>IF(A634="","",IF(AA634="Rejected",IF(AB634&lt;&gt;"","REJECTED","ADD REASON"),IF(AND(B634&lt;&gt;"",C634&lt;&gt;"",D634&lt;&gt;"",E634&lt;&gt;"",F634&lt;&gt;"",G634&lt;&gt;"",H634&lt;&gt;"",J634&lt;&gt;"",K634&lt;&gt;"",L634&lt;&gt;"",M634&lt;&gt;"",N634&lt;&gt;"",O634&lt;&gt;"",P634&lt;&gt;"",Q634&lt;&gt;"",R634&lt;&gt;"",S634&lt;&gt;"",T634&lt;&gt;"",U634&lt;&gt;"",V634&lt;&gt;"",W634&lt;&gt;"",X634&lt;&gt;"",Y634&lt;&gt;"",AC634="UNIQUE"),"READY","CHECK")))</f>
        <v/>
      </c>
    </row>
    <row r="635">
      <c r="A635" s="25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37" t="n"/>
      <c r="K635" s="34" t="n"/>
      <c r="L635" s="26" t="n"/>
      <c r="M635" s="37" t="n"/>
      <c r="N635" s="37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34" t="n"/>
      <c r="Y635" s="26" t="n"/>
      <c r="Z635" s="26" t="n"/>
      <c r="AA635" s="26" t="n"/>
      <c r="AB635" s="27" t="n"/>
      <c r="AC635" s="32">
        <f>IF(A635="","",IF(COUNTIF($H$5:$H$1004,H635)&gt;1,"DUPLICATE","UNIQUE"))</f>
        <v/>
      </c>
      <c r="AD635" s="32">
        <f>IF(A635="","",IF(AA635="Rejected",IF(AB635&lt;&gt;"","REJECTED","ADD REASON"),IF(AND(B635&lt;&gt;"",C635&lt;&gt;"",D635&lt;&gt;"",E635&lt;&gt;"",F635&lt;&gt;"",G635&lt;&gt;"",H635&lt;&gt;"",J635&lt;&gt;"",K635&lt;&gt;"",L635&lt;&gt;"",M635&lt;&gt;"",N635&lt;&gt;"",O635&lt;&gt;"",P635&lt;&gt;"",Q635&lt;&gt;"",R635&lt;&gt;"",S635&lt;&gt;"",T635&lt;&gt;"",U635&lt;&gt;"",V635&lt;&gt;"",W635&lt;&gt;"",X635&lt;&gt;"",Y635&lt;&gt;"",AC635="UNIQUE"),"READY","CHECK")))</f>
        <v/>
      </c>
    </row>
    <row r="636">
      <c r="A636" s="25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37" t="n"/>
      <c r="K636" s="34" t="n"/>
      <c r="L636" s="26" t="n"/>
      <c r="M636" s="37" t="n"/>
      <c r="N636" s="37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34" t="n"/>
      <c r="Y636" s="26" t="n"/>
      <c r="Z636" s="26" t="n"/>
      <c r="AA636" s="26" t="n"/>
      <c r="AB636" s="27" t="n"/>
      <c r="AC636" s="32">
        <f>IF(A636="","",IF(COUNTIF($H$5:$H$1004,H636)&gt;1,"DUPLICATE","UNIQUE"))</f>
        <v/>
      </c>
      <c r="AD636" s="32">
        <f>IF(A636="","",IF(AA636="Rejected",IF(AB636&lt;&gt;"","REJECTED","ADD REASON"),IF(AND(B636&lt;&gt;"",C636&lt;&gt;"",D636&lt;&gt;"",E636&lt;&gt;"",F636&lt;&gt;"",G636&lt;&gt;"",H636&lt;&gt;"",J636&lt;&gt;"",K636&lt;&gt;"",L636&lt;&gt;"",M636&lt;&gt;"",N636&lt;&gt;"",O636&lt;&gt;"",P636&lt;&gt;"",Q636&lt;&gt;"",R636&lt;&gt;"",S636&lt;&gt;"",T636&lt;&gt;"",U636&lt;&gt;"",V636&lt;&gt;"",W636&lt;&gt;"",X636&lt;&gt;"",Y636&lt;&gt;"",AC636="UNIQUE"),"READY","CHECK")))</f>
        <v/>
      </c>
    </row>
    <row r="637">
      <c r="A637" s="25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37" t="n"/>
      <c r="K637" s="34" t="n"/>
      <c r="L637" s="26" t="n"/>
      <c r="M637" s="37" t="n"/>
      <c r="N637" s="37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34" t="n"/>
      <c r="Y637" s="26" t="n"/>
      <c r="Z637" s="26" t="n"/>
      <c r="AA637" s="26" t="n"/>
      <c r="AB637" s="27" t="n"/>
      <c r="AC637" s="32">
        <f>IF(A637="","",IF(COUNTIF($H$5:$H$1004,H637)&gt;1,"DUPLICATE","UNIQUE"))</f>
        <v/>
      </c>
      <c r="AD637" s="32">
        <f>IF(A637="","",IF(AA637="Rejected",IF(AB637&lt;&gt;"","REJECTED","ADD REASON"),IF(AND(B637&lt;&gt;"",C637&lt;&gt;"",D637&lt;&gt;"",E637&lt;&gt;"",F637&lt;&gt;"",G637&lt;&gt;"",H637&lt;&gt;"",J637&lt;&gt;"",K637&lt;&gt;"",L637&lt;&gt;"",M637&lt;&gt;"",N637&lt;&gt;"",O637&lt;&gt;"",P637&lt;&gt;"",Q637&lt;&gt;"",R637&lt;&gt;"",S637&lt;&gt;"",T637&lt;&gt;"",U637&lt;&gt;"",V637&lt;&gt;"",W637&lt;&gt;"",X637&lt;&gt;"",Y637&lt;&gt;"",AC637="UNIQUE"),"READY","CHECK")))</f>
        <v/>
      </c>
    </row>
    <row r="638">
      <c r="A638" s="25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37" t="n"/>
      <c r="K638" s="34" t="n"/>
      <c r="L638" s="26" t="n"/>
      <c r="M638" s="37" t="n"/>
      <c r="N638" s="37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34" t="n"/>
      <c r="Y638" s="26" t="n"/>
      <c r="Z638" s="26" t="n"/>
      <c r="AA638" s="26" t="n"/>
      <c r="AB638" s="27" t="n"/>
      <c r="AC638" s="32">
        <f>IF(A638="","",IF(COUNTIF($H$5:$H$1004,H638)&gt;1,"DUPLICATE","UNIQUE"))</f>
        <v/>
      </c>
      <c r="AD638" s="32">
        <f>IF(A638="","",IF(AA638="Rejected",IF(AB638&lt;&gt;"","REJECTED","ADD REASON"),IF(AND(B638&lt;&gt;"",C638&lt;&gt;"",D638&lt;&gt;"",E638&lt;&gt;"",F638&lt;&gt;"",G638&lt;&gt;"",H638&lt;&gt;"",J638&lt;&gt;"",K638&lt;&gt;"",L638&lt;&gt;"",M638&lt;&gt;"",N638&lt;&gt;"",O638&lt;&gt;"",P638&lt;&gt;"",Q638&lt;&gt;"",R638&lt;&gt;"",S638&lt;&gt;"",T638&lt;&gt;"",U638&lt;&gt;"",V638&lt;&gt;"",W638&lt;&gt;"",X638&lt;&gt;"",Y638&lt;&gt;"",AC638="UNIQUE"),"READY","CHECK")))</f>
        <v/>
      </c>
    </row>
    <row r="639">
      <c r="A639" s="25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37" t="n"/>
      <c r="K639" s="34" t="n"/>
      <c r="L639" s="26" t="n"/>
      <c r="M639" s="37" t="n"/>
      <c r="N639" s="37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34" t="n"/>
      <c r="Y639" s="26" t="n"/>
      <c r="Z639" s="26" t="n"/>
      <c r="AA639" s="26" t="n"/>
      <c r="AB639" s="27" t="n"/>
      <c r="AC639" s="32">
        <f>IF(A639="","",IF(COUNTIF($H$5:$H$1004,H639)&gt;1,"DUPLICATE","UNIQUE"))</f>
        <v/>
      </c>
      <c r="AD639" s="32">
        <f>IF(A639="","",IF(AA639="Rejected",IF(AB639&lt;&gt;"","REJECTED","ADD REASON"),IF(AND(B639&lt;&gt;"",C639&lt;&gt;"",D639&lt;&gt;"",E639&lt;&gt;"",F639&lt;&gt;"",G639&lt;&gt;"",H639&lt;&gt;"",J639&lt;&gt;"",K639&lt;&gt;"",L639&lt;&gt;"",M639&lt;&gt;"",N639&lt;&gt;"",O639&lt;&gt;"",P639&lt;&gt;"",Q639&lt;&gt;"",R639&lt;&gt;"",S639&lt;&gt;"",T639&lt;&gt;"",U639&lt;&gt;"",V639&lt;&gt;"",W639&lt;&gt;"",X639&lt;&gt;"",Y639&lt;&gt;"",AC639="UNIQUE"),"READY","CHECK")))</f>
        <v/>
      </c>
    </row>
    <row r="640">
      <c r="A640" s="25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37" t="n"/>
      <c r="K640" s="34" t="n"/>
      <c r="L640" s="26" t="n"/>
      <c r="M640" s="37" t="n"/>
      <c r="N640" s="37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34" t="n"/>
      <c r="Y640" s="26" t="n"/>
      <c r="Z640" s="26" t="n"/>
      <c r="AA640" s="26" t="n"/>
      <c r="AB640" s="27" t="n"/>
      <c r="AC640" s="32">
        <f>IF(A640="","",IF(COUNTIF($H$5:$H$1004,H640)&gt;1,"DUPLICATE","UNIQUE"))</f>
        <v/>
      </c>
      <c r="AD640" s="32">
        <f>IF(A640="","",IF(AA640="Rejected",IF(AB640&lt;&gt;"","REJECTED","ADD REASON"),IF(AND(B640&lt;&gt;"",C640&lt;&gt;"",D640&lt;&gt;"",E640&lt;&gt;"",F640&lt;&gt;"",G640&lt;&gt;"",H640&lt;&gt;"",J640&lt;&gt;"",K640&lt;&gt;"",L640&lt;&gt;"",M640&lt;&gt;"",N640&lt;&gt;"",O640&lt;&gt;"",P640&lt;&gt;"",Q640&lt;&gt;"",R640&lt;&gt;"",S640&lt;&gt;"",T640&lt;&gt;"",U640&lt;&gt;"",V640&lt;&gt;"",W640&lt;&gt;"",X640&lt;&gt;"",Y640&lt;&gt;"",AC640="UNIQUE"),"READY","CHECK")))</f>
        <v/>
      </c>
    </row>
    <row r="641">
      <c r="A641" s="25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37" t="n"/>
      <c r="K641" s="34" t="n"/>
      <c r="L641" s="26" t="n"/>
      <c r="M641" s="37" t="n"/>
      <c r="N641" s="37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34" t="n"/>
      <c r="Y641" s="26" t="n"/>
      <c r="Z641" s="26" t="n"/>
      <c r="AA641" s="26" t="n"/>
      <c r="AB641" s="27" t="n"/>
      <c r="AC641" s="32">
        <f>IF(A641="","",IF(COUNTIF($H$5:$H$1004,H641)&gt;1,"DUPLICATE","UNIQUE"))</f>
        <v/>
      </c>
      <c r="AD641" s="32">
        <f>IF(A641="","",IF(AA641="Rejected",IF(AB641&lt;&gt;"","REJECTED","ADD REASON"),IF(AND(B641&lt;&gt;"",C641&lt;&gt;"",D641&lt;&gt;"",E641&lt;&gt;"",F641&lt;&gt;"",G641&lt;&gt;"",H641&lt;&gt;"",J641&lt;&gt;"",K641&lt;&gt;"",L641&lt;&gt;"",M641&lt;&gt;"",N641&lt;&gt;"",O641&lt;&gt;"",P641&lt;&gt;"",Q641&lt;&gt;"",R641&lt;&gt;"",S641&lt;&gt;"",T641&lt;&gt;"",U641&lt;&gt;"",V641&lt;&gt;"",W641&lt;&gt;"",X641&lt;&gt;"",Y641&lt;&gt;"",AC641="UNIQUE"),"READY","CHECK")))</f>
        <v/>
      </c>
    </row>
    <row r="642">
      <c r="A642" s="25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37" t="n"/>
      <c r="K642" s="34" t="n"/>
      <c r="L642" s="26" t="n"/>
      <c r="M642" s="37" t="n"/>
      <c r="N642" s="37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34" t="n"/>
      <c r="Y642" s="26" t="n"/>
      <c r="Z642" s="26" t="n"/>
      <c r="AA642" s="26" t="n"/>
      <c r="AB642" s="27" t="n"/>
      <c r="AC642" s="32">
        <f>IF(A642="","",IF(COUNTIF($H$5:$H$1004,H642)&gt;1,"DUPLICATE","UNIQUE"))</f>
        <v/>
      </c>
      <c r="AD642" s="32">
        <f>IF(A642="","",IF(AA642="Rejected",IF(AB642&lt;&gt;"","REJECTED","ADD REASON"),IF(AND(B642&lt;&gt;"",C642&lt;&gt;"",D642&lt;&gt;"",E642&lt;&gt;"",F642&lt;&gt;"",G642&lt;&gt;"",H642&lt;&gt;"",J642&lt;&gt;"",K642&lt;&gt;"",L642&lt;&gt;"",M642&lt;&gt;"",N642&lt;&gt;"",O642&lt;&gt;"",P642&lt;&gt;"",Q642&lt;&gt;"",R642&lt;&gt;"",S642&lt;&gt;"",T642&lt;&gt;"",U642&lt;&gt;"",V642&lt;&gt;"",W642&lt;&gt;"",X642&lt;&gt;"",Y642&lt;&gt;"",AC642="UNIQUE"),"READY","CHECK")))</f>
        <v/>
      </c>
    </row>
    <row r="643">
      <c r="A643" s="25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37" t="n"/>
      <c r="K643" s="34" t="n"/>
      <c r="L643" s="26" t="n"/>
      <c r="M643" s="37" t="n"/>
      <c r="N643" s="37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34" t="n"/>
      <c r="Y643" s="26" t="n"/>
      <c r="Z643" s="26" t="n"/>
      <c r="AA643" s="26" t="n"/>
      <c r="AB643" s="27" t="n"/>
      <c r="AC643" s="32">
        <f>IF(A643="","",IF(COUNTIF($H$5:$H$1004,H643)&gt;1,"DUPLICATE","UNIQUE"))</f>
        <v/>
      </c>
      <c r="AD643" s="32">
        <f>IF(A643="","",IF(AA643="Rejected",IF(AB643&lt;&gt;"","REJECTED","ADD REASON"),IF(AND(B643&lt;&gt;"",C643&lt;&gt;"",D643&lt;&gt;"",E643&lt;&gt;"",F643&lt;&gt;"",G643&lt;&gt;"",H643&lt;&gt;"",J643&lt;&gt;"",K643&lt;&gt;"",L643&lt;&gt;"",M643&lt;&gt;"",N643&lt;&gt;"",O643&lt;&gt;"",P643&lt;&gt;"",Q643&lt;&gt;"",R643&lt;&gt;"",S643&lt;&gt;"",T643&lt;&gt;"",U643&lt;&gt;"",V643&lt;&gt;"",W643&lt;&gt;"",X643&lt;&gt;"",Y643&lt;&gt;"",AC643="UNIQUE"),"READY","CHECK")))</f>
        <v/>
      </c>
    </row>
    <row r="644">
      <c r="A644" s="25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37" t="n"/>
      <c r="K644" s="34" t="n"/>
      <c r="L644" s="26" t="n"/>
      <c r="M644" s="37" t="n"/>
      <c r="N644" s="37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34" t="n"/>
      <c r="Y644" s="26" t="n"/>
      <c r="Z644" s="26" t="n"/>
      <c r="AA644" s="26" t="n"/>
      <c r="AB644" s="27" t="n"/>
      <c r="AC644" s="32">
        <f>IF(A644="","",IF(COUNTIF($H$5:$H$1004,H644)&gt;1,"DUPLICATE","UNIQUE"))</f>
        <v/>
      </c>
      <c r="AD644" s="32">
        <f>IF(A644="","",IF(AA644="Rejected",IF(AB644&lt;&gt;"","REJECTED","ADD REASON"),IF(AND(B644&lt;&gt;"",C644&lt;&gt;"",D644&lt;&gt;"",E644&lt;&gt;"",F644&lt;&gt;"",G644&lt;&gt;"",H644&lt;&gt;"",J644&lt;&gt;"",K644&lt;&gt;"",L644&lt;&gt;"",M644&lt;&gt;"",N644&lt;&gt;"",O644&lt;&gt;"",P644&lt;&gt;"",Q644&lt;&gt;"",R644&lt;&gt;"",S644&lt;&gt;"",T644&lt;&gt;"",U644&lt;&gt;"",V644&lt;&gt;"",W644&lt;&gt;"",X644&lt;&gt;"",Y644&lt;&gt;"",AC644="UNIQUE"),"READY","CHECK")))</f>
        <v/>
      </c>
    </row>
    <row r="645">
      <c r="A645" s="25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37" t="n"/>
      <c r="K645" s="34" t="n"/>
      <c r="L645" s="26" t="n"/>
      <c r="M645" s="37" t="n"/>
      <c r="N645" s="37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34" t="n"/>
      <c r="Y645" s="26" t="n"/>
      <c r="Z645" s="26" t="n"/>
      <c r="AA645" s="26" t="n"/>
      <c r="AB645" s="27" t="n"/>
      <c r="AC645" s="32">
        <f>IF(A645="","",IF(COUNTIF($H$5:$H$1004,H645)&gt;1,"DUPLICATE","UNIQUE"))</f>
        <v/>
      </c>
      <c r="AD645" s="32">
        <f>IF(A645="","",IF(AA645="Rejected",IF(AB645&lt;&gt;"","REJECTED","ADD REASON"),IF(AND(B645&lt;&gt;"",C645&lt;&gt;"",D645&lt;&gt;"",E645&lt;&gt;"",F645&lt;&gt;"",G645&lt;&gt;"",H645&lt;&gt;"",J645&lt;&gt;"",K645&lt;&gt;"",L645&lt;&gt;"",M645&lt;&gt;"",N645&lt;&gt;"",O645&lt;&gt;"",P645&lt;&gt;"",Q645&lt;&gt;"",R645&lt;&gt;"",S645&lt;&gt;"",T645&lt;&gt;"",U645&lt;&gt;"",V645&lt;&gt;"",W645&lt;&gt;"",X645&lt;&gt;"",Y645&lt;&gt;"",AC645="UNIQUE"),"READY","CHECK")))</f>
        <v/>
      </c>
    </row>
    <row r="646">
      <c r="A646" s="25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37" t="n"/>
      <c r="K646" s="34" t="n"/>
      <c r="L646" s="26" t="n"/>
      <c r="M646" s="37" t="n"/>
      <c r="N646" s="37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34" t="n"/>
      <c r="Y646" s="26" t="n"/>
      <c r="Z646" s="26" t="n"/>
      <c r="AA646" s="26" t="n"/>
      <c r="AB646" s="27" t="n"/>
      <c r="AC646" s="32">
        <f>IF(A646="","",IF(COUNTIF($H$5:$H$1004,H646)&gt;1,"DUPLICATE","UNIQUE"))</f>
        <v/>
      </c>
      <c r="AD646" s="32">
        <f>IF(A646="","",IF(AA646="Rejected",IF(AB646&lt;&gt;"","REJECTED","ADD REASON"),IF(AND(B646&lt;&gt;"",C646&lt;&gt;"",D646&lt;&gt;"",E646&lt;&gt;"",F646&lt;&gt;"",G646&lt;&gt;"",H646&lt;&gt;"",J646&lt;&gt;"",K646&lt;&gt;"",L646&lt;&gt;"",M646&lt;&gt;"",N646&lt;&gt;"",O646&lt;&gt;"",P646&lt;&gt;"",Q646&lt;&gt;"",R646&lt;&gt;"",S646&lt;&gt;"",T646&lt;&gt;"",U646&lt;&gt;"",V646&lt;&gt;"",W646&lt;&gt;"",X646&lt;&gt;"",Y646&lt;&gt;"",AC646="UNIQUE"),"READY","CHECK")))</f>
        <v/>
      </c>
    </row>
    <row r="647">
      <c r="A647" s="25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37" t="n"/>
      <c r="K647" s="34" t="n"/>
      <c r="L647" s="26" t="n"/>
      <c r="M647" s="37" t="n"/>
      <c r="N647" s="37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34" t="n"/>
      <c r="Y647" s="26" t="n"/>
      <c r="Z647" s="26" t="n"/>
      <c r="AA647" s="26" t="n"/>
      <c r="AB647" s="27" t="n"/>
      <c r="AC647" s="32">
        <f>IF(A647="","",IF(COUNTIF($H$5:$H$1004,H647)&gt;1,"DUPLICATE","UNIQUE"))</f>
        <v/>
      </c>
      <c r="AD647" s="32">
        <f>IF(A647="","",IF(AA647="Rejected",IF(AB647&lt;&gt;"","REJECTED","ADD REASON"),IF(AND(B647&lt;&gt;"",C647&lt;&gt;"",D647&lt;&gt;"",E647&lt;&gt;"",F647&lt;&gt;"",G647&lt;&gt;"",H647&lt;&gt;"",J647&lt;&gt;"",K647&lt;&gt;"",L647&lt;&gt;"",M647&lt;&gt;"",N647&lt;&gt;"",O647&lt;&gt;"",P647&lt;&gt;"",Q647&lt;&gt;"",R647&lt;&gt;"",S647&lt;&gt;"",T647&lt;&gt;"",U647&lt;&gt;"",V647&lt;&gt;"",W647&lt;&gt;"",X647&lt;&gt;"",Y647&lt;&gt;"",AC647="UNIQUE"),"READY","CHECK")))</f>
        <v/>
      </c>
    </row>
    <row r="648">
      <c r="A648" s="25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37" t="n"/>
      <c r="K648" s="34" t="n"/>
      <c r="L648" s="26" t="n"/>
      <c r="M648" s="37" t="n"/>
      <c r="N648" s="37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34" t="n"/>
      <c r="Y648" s="26" t="n"/>
      <c r="Z648" s="26" t="n"/>
      <c r="AA648" s="26" t="n"/>
      <c r="AB648" s="27" t="n"/>
      <c r="AC648" s="32">
        <f>IF(A648="","",IF(COUNTIF($H$5:$H$1004,H648)&gt;1,"DUPLICATE","UNIQUE"))</f>
        <v/>
      </c>
      <c r="AD648" s="32">
        <f>IF(A648="","",IF(AA648="Rejected",IF(AB648&lt;&gt;"","REJECTED","ADD REASON"),IF(AND(B648&lt;&gt;"",C648&lt;&gt;"",D648&lt;&gt;"",E648&lt;&gt;"",F648&lt;&gt;"",G648&lt;&gt;"",H648&lt;&gt;"",J648&lt;&gt;"",K648&lt;&gt;"",L648&lt;&gt;"",M648&lt;&gt;"",N648&lt;&gt;"",O648&lt;&gt;"",P648&lt;&gt;"",Q648&lt;&gt;"",R648&lt;&gt;"",S648&lt;&gt;"",T648&lt;&gt;"",U648&lt;&gt;"",V648&lt;&gt;"",W648&lt;&gt;"",X648&lt;&gt;"",Y648&lt;&gt;"",AC648="UNIQUE"),"READY","CHECK")))</f>
        <v/>
      </c>
    </row>
    <row r="649">
      <c r="A649" s="25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37" t="n"/>
      <c r="K649" s="34" t="n"/>
      <c r="L649" s="26" t="n"/>
      <c r="M649" s="37" t="n"/>
      <c r="N649" s="37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34" t="n"/>
      <c r="Y649" s="26" t="n"/>
      <c r="Z649" s="26" t="n"/>
      <c r="AA649" s="26" t="n"/>
      <c r="AB649" s="27" t="n"/>
      <c r="AC649" s="32">
        <f>IF(A649="","",IF(COUNTIF($H$5:$H$1004,H649)&gt;1,"DUPLICATE","UNIQUE"))</f>
        <v/>
      </c>
      <c r="AD649" s="32">
        <f>IF(A649="","",IF(AA649="Rejected",IF(AB649&lt;&gt;"","REJECTED","ADD REASON"),IF(AND(B649&lt;&gt;"",C649&lt;&gt;"",D649&lt;&gt;"",E649&lt;&gt;"",F649&lt;&gt;"",G649&lt;&gt;"",H649&lt;&gt;"",J649&lt;&gt;"",K649&lt;&gt;"",L649&lt;&gt;"",M649&lt;&gt;"",N649&lt;&gt;"",O649&lt;&gt;"",P649&lt;&gt;"",Q649&lt;&gt;"",R649&lt;&gt;"",S649&lt;&gt;"",T649&lt;&gt;"",U649&lt;&gt;"",V649&lt;&gt;"",W649&lt;&gt;"",X649&lt;&gt;"",Y649&lt;&gt;"",AC649="UNIQUE"),"READY","CHECK")))</f>
        <v/>
      </c>
    </row>
    <row r="650">
      <c r="A650" s="25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37" t="n"/>
      <c r="K650" s="34" t="n"/>
      <c r="L650" s="26" t="n"/>
      <c r="M650" s="37" t="n"/>
      <c r="N650" s="37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34" t="n"/>
      <c r="Y650" s="26" t="n"/>
      <c r="Z650" s="26" t="n"/>
      <c r="AA650" s="26" t="n"/>
      <c r="AB650" s="27" t="n"/>
      <c r="AC650" s="32">
        <f>IF(A650="","",IF(COUNTIF($H$5:$H$1004,H650)&gt;1,"DUPLICATE","UNIQUE"))</f>
        <v/>
      </c>
      <c r="AD650" s="32">
        <f>IF(A650="","",IF(AA650="Rejected",IF(AB650&lt;&gt;"","REJECTED","ADD REASON"),IF(AND(B650&lt;&gt;"",C650&lt;&gt;"",D650&lt;&gt;"",E650&lt;&gt;"",F650&lt;&gt;"",G650&lt;&gt;"",H650&lt;&gt;"",J650&lt;&gt;"",K650&lt;&gt;"",L650&lt;&gt;"",M650&lt;&gt;"",N650&lt;&gt;"",O650&lt;&gt;"",P650&lt;&gt;"",Q650&lt;&gt;"",R650&lt;&gt;"",S650&lt;&gt;"",T650&lt;&gt;"",U650&lt;&gt;"",V650&lt;&gt;"",W650&lt;&gt;"",X650&lt;&gt;"",Y650&lt;&gt;"",AC650="UNIQUE"),"READY","CHECK")))</f>
        <v/>
      </c>
    </row>
    <row r="651">
      <c r="A651" s="25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37" t="n"/>
      <c r="K651" s="34" t="n"/>
      <c r="L651" s="26" t="n"/>
      <c r="M651" s="37" t="n"/>
      <c r="N651" s="37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34" t="n"/>
      <c r="Y651" s="26" t="n"/>
      <c r="Z651" s="26" t="n"/>
      <c r="AA651" s="26" t="n"/>
      <c r="AB651" s="27" t="n"/>
      <c r="AC651" s="32">
        <f>IF(A651="","",IF(COUNTIF($H$5:$H$1004,H651)&gt;1,"DUPLICATE","UNIQUE"))</f>
        <v/>
      </c>
      <c r="AD651" s="32">
        <f>IF(A651="","",IF(AA651="Rejected",IF(AB651&lt;&gt;"","REJECTED","ADD REASON"),IF(AND(B651&lt;&gt;"",C651&lt;&gt;"",D651&lt;&gt;"",E651&lt;&gt;"",F651&lt;&gt;"",G651&lt;&gt;"",H651&lt;&gt;"",J651&lt;&gt;"",K651&lt;&gt;"",L651&lt;&gt;"",M651&lt;&gt;"",N651&lt;&gt;"",O651&lt;&gt;"",P651&lt;&gt;"",Q651&lt;&gt;"",R651&lt;&gt;"",S651&lt;&gt;"",T651&lt;&gt;"",U651&lt;&gt;"",V651&lt;&gt;"",W651&lt;&gt;"",X651&lt;&gt;"",Y651&lt;&gt;"",AC651="UNIQUE"),"READY","CHECK")))</f>
        <v/>
      </c>
    </row>
    <row r="652">
      <c r="A652" s="25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37" t="n"/>
      <c r="K652" s="34" t="n"/>
      <c r="L652" s="26" t="n"/>
      <c r="M652" s="37" t="n"/>
      <c r="N652" s="37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34" t="n"/>
      <c r="Y652" s="26" t="n"/>
      <c r="Z652" s="26" t="n"/>
      <c r="AA652" s="26" t="n"/>
      <c r="AB652" s="27" t="n"/>
      <c r="AC652" s="32">
        <f>IF(A652="","",IF(COUNTIF($H$5:$H$1004,H652)&gt;1,"DUPLICATE","UNIQUE"))</f>
        <v/>
      </c>
      <c r="AD652" s="32">
        <f>IF(A652="","",IF(AA652="Rejected",IF(AB652&lt;&gt;"","REJECTED","ADD REASON"),IF(AND(B652&lt;&gt;"",C652&lt;&gt;"",D652&lt;&gt;"",E652&lt;&gt;"",F652&lt;&gt;"",G652&lt;&gt;"",H652&lt;&gt;"",J652&lt;&gt;"",K652&lt;&gt;"",L652&lt;&gt;"",M652&lt;&gt;"",N652&lt;&gt;"",O652&lt;&gt;"",P652&lt;&gt;"",Q652&lt;&gt;"",R652&lt;&gt;"",S652&lt;&gt;"",T652&lt;&gt;"",U652&lt;&gt;"",V652&lt;&gt;"",W652&lt;&gt;"",X652&lt;&gt;"",Y652&lt;&gt;"",AC652="UNIQUE"),"READY","CHECK")))</f>
        <v/>
      </c>
    </row>
    <row r="653">
      <c r="A653" s="25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37" t="n"/>
      <c r="K653" s="34" t="n"/>
      <c r="L653" s="26" t="n"/>
      <c r="M653" s="37" t="n"/>
      <c r="N653" s="37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34" t="n"/>
      <c r="Y653" s="26" t="n"/>
      <c r="Z653" s="26" t="n"/>
      <c r="AA653" s="26" t="n"/>
      <c r="AB653" s="27" t="n"/>
      <c r="AC653" s="32">
        <f>IF(A653="","",IF(COUNTIF($H$5:$H$1004,H653)&gt;1,"DUPLICATE","UNIQUE"))</f>
        <v/>
      </c>
      <c r="AD653" s="32">
        <f>IF(A653="","",IF(AA653="Rejected",IF(AB653&lt;&gt;"","REJECTED","ADD REASON"),IF(AND(B653&lt;&gt;"",C653&lt;&gt;"",D653&lt;&gt;"",E653&lt;&gt;"",F653&lt;&gt;"",G653&lt;&gt;"",H653&lt;&gt;"",J653&lt;&gt;"",K653&lt;&gt;"",L653&lt;&gt;"",M653&lt;&gt;"",N653&lt;&gt;"",O653&lt;&gt;"",P653&lt;&gt;"",Q653&lt;&gt;"",R653&lt;&gt;"",S653&lt;&gt;"",T653&lt;&gt;"",U653&lt;&gt;"",V653&lt;&gt;"",W653&lt;&gt;"",X653&lt;&gt;"",Y653&lt;&gt;"",AC653="UNIQUE"),"READY","CHECK")))</f>
        <v/>
      </c>
    </row>
    <row r="654">
      <c r="A654" s="25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37" t="n"/>
      <c r="K654" s="34" t="n"/>
      <c r="L654" s="26" t="n"/>
      <c r="M654" s="37" t="n"/>
      <c r="N654" s="37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34" t="n"/>
      <c r="Y654" s="26" t="n"/>
      <c r="Z654" s="26" t="n"/>
      <c r="AA654" s="26" t="n"/>
      <c r="AB654" s="27" t="n"/>
      <c r="AC654" s="32">
        <f>IF(A654="","",IF(COUNTIF($H$5:$H$1004,H654)&gt;1,"DUPLICATE","UNIQUE"))</f>
        <v/>
      </c>
      <c r="AD654" s="32">
        <f>IF(A654="","",IF(AA654="Rejected",IF(AB654&lt;&gt;"","REJECTED","ADD REASON"),IF(AND(B654&lt;&gt;"",C654&lt;&gt;"",D654&lt;&gt;"",E654&lt;&gt;"",F654&lt;&gt;"",G654&lt;&gt;"",H654&lt;&gt;"",J654&lt;&gt;"",K654&lt;&gt;"",L654&lt;&gt;"",M654&lt;&gt;"",N654&lt;&gt;"",O654&lt;&gt;"",P654&lt;&gt;"",Q654&lt;&gt;"",R654&lt;&gt;"",S654&lt;&gt;"",T654&lt;&gt;"",U654&lt;&gt;"",V654&lt;&gt;"",W654&lt;&gt;"",X654&lt;&gt;"",Y654&lt;&gt;"",AC654="UNIQUE"),"READY","CHECK")))</f>
        <v/>
      </c>
    </row>
    <row r="655">
      <c r="A655" s="25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37" t="n"/>
      <c r="K655" s="34" t="n"/>
      <c r="L655" s="26" t="n"/>
      <c r="M655" s="37" t="n"/>
      <c r="N655" s="37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34" t="n"/>
      <c r="Y655" s="26" t="n"/>
      <c r="Z655" s="26" t="n"/>
      <c r="AA655" s="26" t="n"/>
      <c r="AB655" s="27" t="n"/>
      <c r="AC655" s="32">
        <f>IF(A655="","",IF(COUNTIF($H$5:$H$1004,H655)&gt;1,"DUPLICATE","UNIQUE"))</f>
        <v/>
      </c>
      <c r="AD655" s="32">
        <f>IF(A655="","",IF(AA655="Rejected",IF(AB655&lt;&gt;"","REJECTED","ADD REASON"),IF(AND(B655&lt;&gt;"",C655&lt;&gt;"",D655&lt;&gt;"",E655&lt;&gt;"",F655&lt;&gt;"",G655&lt;&gt;"",H655&lt;&gt;"",J655&lt;&gt;"",K655&lt;&gt;"",L655&lt;&gt;"",M655&lt;&gt;"",N655&lt;&gt;"",O655&lt;&gt;"",P655&lt;&gt;"",Q655&lt;&gt;"",R655&lt;&gt;"",S655&lt;&gt;"",T655&lt;&gt;"",U655&lt;&gt;"",V655&lt;&gt;"",W655&lt;&gt;"",X655&lt;&gt;"",Y655&lt;&gt;"",AC655="UNIQUE"),"READY","CHECK")))</f>
        <v/>
      </c>
    </row>
    <row r="656">
      <c r="A656" s="25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37" t="n"/>
      <c r="K656" s="34" t="n"/>
      <c r="L656" s="26" t="n"/>
      <c r="M656" s="37" t="n"/>
      <c r="N656" s="37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34" t="n"/>
      <c r="Y656" s="26" t="n"/>
      <c r="Z656" s="26" t="n"/>
      <c r="AA656" s="26" t="n"/>
      <c r="AB656" s="27" t="n"/>
      <c r="AC656" s="32">
        <f>IF(A656="","",IF(COUNTIF($H$5:$H$1004,H656)&gt;1,"DUPLICATE","UNIQUE"))</f>
        <v/>
      </c>
      <c r="AD656" s="32">
        <f>IF(A656="","",IF(AA656="Rejected",IF(AB656&lt;&gt;"","REJECTED","ADD REASON"),IF(AND(B656&lt;&gt;"",C656&lt;&gt;"",D656&lt;&gt;"",E656&lt;&gt;"",F656&lt;&gt;"",G656&lt;&gt;"",H656&lt;&gt;"",J656&lt;&gt;"",K656&lt;&gt;"",L656&lt;&gt;"",M656&lt;&gt;"",N656&lt;&gt;"",O656&lt;&gt;"",P656&lt;&gt;"",Q656&lt;&gt;"",R656&lt;&gt;"",S656&lt;&gt;"",T656&lt;&gt;"",U656&lt;&gt;"",V656&lt;&gt;"",W656&lt;&gt;"",X656&lt;&gt;"",Y656&lt;&gt;"",AC656="UNIQUE"),"READY","CHECK")))</f>
        <v/>
      </c>
    </row>
    <row r="657">
      <c r="A657" s="25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37" t="n"/>
      <c r="K657" s="34" t="n"/>
      <c r="L657" s="26" t="n"/>
      <c r="M657" s="37" t="n"/>
      <c r="N657" s="37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34" t="n"/>
      <c r="Y657" s="26" t="n"/>
      <c r="Z657" s="26" t="n"/>
      <c r="AA657" s="26" t="n"/>
      <c r="AB657" s="27" t="n"/>
      <c r="AC657" s="32">
        <f>IF(A657="","",IF(COUNTIF($H$5:$H$1004,H657)&gt;1,"DUPLICATE","UNIQUE"))</f>
        <v/>
      </c>
      <c r="AD657" s="32">
        <f>IF(A657="","",IF(AA657="Rejected",IF(AB657&lt;&gt;"","REJECTED","ADD REASON"),IF(AND(B657&lt;&gt;"",C657&lt;&gt;"",D657&lt;&gt;"",E657&lt;&gt;"",F657&lt;&gt;"",G657&lt;&gt;"",H657&lt;&gt;"",J657&lt;&gt;"",K657&lt;&gt;"",L657&lt;&gt;"",M657&lt;&gt;"",N657&lt;&gt;"",O657&lt;&gt;"",P657&lt;&gt;"",Q657&lt;&gt;"",R657&lt;&gt;"",S657&lt;&gt;"",T657&lt;&gt;"",U657&lt;&gt;"",V657&lt;&gt;"",W657&lt;&gt;"",X657&lt;&gt;"",Y657&lt;&gt;"",AC657="UNIQUE"),"READY","CHECK")))</f>
        <v/>
      </c>
    </row>
    <row r="658">
      <c r="A658" s="25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37" t="n"/>
      <c r="K658" s="34" t="n"/>
      <c r="L658" s="26" t="n"/>
      <c r="M658" s="37" t="n"/>
      <c r="N658" s="37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34" t="n"/>
      <c r="Y658" s="26" t="n"/>
      <c r="Z658" s="26" t="n"/>
      <c r="AA658" s="26" t="n"/>
      <c r="AB658" s="27" t="n"/>
      <c r="AC658" s="32">
        <f>IF(A658="","",IF(COUNTIF($H$5:$H$1004,H658)&gt;1,"DUPLICATE","UNIQUE"))</f>
        <v/>
      </c>
      <c r="AD658" s="32">
        <f>IF(A658="","",IF(AA658="Rejected",IF(AB658&lt;&gt;"","REJECTED","ADD REASON"),IF(AND(B658&lt;&gt;"",C658&lt;&gt;"",D658&lt;&gt;"",E658&lt;&gt;"",F658&lt;&gt;"",G658&lt;&gt;"",H658&lt;&gt;"",J658&lt;&gt;"",K658&lt;&gt;"",L658&lt;&gt;"",M658&lt;&gt;"",N658&lt;&gt;"",O658&lt;&gt;"",P658&lt;&gt;"",Q658&lt;&gt;"",R658&lt;&gt;"",S658&lt;&gt;"",T658&lt;&gt;"",U658&lt;&gt;"",V658&lt;&gt;"",W658&lt;&gt;"",X658&lt;&gt;"",Y658&lt;&gt;"",AC658="UNIQUE"),"READY","CHECK")))</f>
        <v/>
      </c>
    </row>
    <row r="659">
      <c r="A659" s="25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37" t="n"/>
      <c r="K659" s="34" t="n"/>
      <c r="L659" s="26" t="n"/>
      <c r="M659" s="37" t="n"/>
      <c r="N659" s="37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34" t="n"/>
      <c r="Y659" s="26" t="n"/>
      <c r="Z659" s="26" t="n"/>
      <c r="AA659" s="26" t="n"/>
      <c r="AB659" s="27" t="n"/>
      <c r="AC659" s="32">
        <f>IF(A659="","",IF(COUNTIF($H$5:$H$1004,H659)&gt;1,"DUPLICATE","UNIQUE"))</f>
        <v/>
      </c>
      <c r="AD659" s="32">
        <f>IF(A659="","",IF(AA659="Rejected",IF(AB659&lt;&gt;"","REJECTED","ADD REASON"),IF(AND(B659&lt;&gt;"",C659&lt;&gt;"",D659&lt;&gt;"",E659&lt;&gt;"",F659&lt;&gt;"",G659&lt;&gt;"",H659&lt;&gt;"",J659&lt;&gt;"",K659&lt;&gt;"",L659&lt;&gt;"",M659&lt;&gt;"",N659&lt;&gt;"",O659&lt;&gt;"",P659&lt;&gt;"",Q659&lt;&gt;"",R659&lt;&gt;"",S659&lt;&gt;"",T659&lt;&gt;"",U659&lt;&gt;"",V659&lt;&gt;"",W659&lt;&gt;"",X659&lt;&gt;"",Y659&lt;&gt;"",AC659="UNIQUE"),"READY","CHECK")))</f>
        <v/>
      </c>
    </row>
    <row r="660">
      <c r="A660" s="25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37" t="n"/>
      <c r="K660" s="34" t="n"/>
      <c r="L660" s="26" t="n"/>
      <c r="M660" s="37" t="n"/>
      <c r="N660" s="37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34" t="n"/>
      <c r="Y660" s="26" t="n"/>
      <c r="Z660" s="26" t="n"/>
      <c r="AA660" s="26" t="n"/>
      <c r="AB660" s="27" t="n"/>
      <c r="AC660" s="32">
        <f>IF(A660="","",IF(COUNTIF($H$5:$H$1004,H660)&gt;1,"DUPLICATE","UNIQUE"))</f>
        <v/>
      </c>
      <c r="AD660" s="32">
        <f>IF(A660="","",IF(AA660="Rejected",IF(AB660&lt;&gt;"","REJECTED","ADD REASON"),IF(AND(B660&lt;&gt;"",C660&lt;&gt;"",D660&lt;&gt;"",E660&lt;&gt;"",F660&lt;&gt;"",G660&lt;&gt;"",H660&lt;&gt;"",J660&lt;&gt;"",K660&lt;&gt;"",L660&lt;&gt;"",M660&lt;&gt;"",N660&lt;&gt;"",O660&lt;&gt;"",P660&lt;&gt;"",Q660&lt;&gt;"",R660&lt;&gt;"",S660&lt;&gt;"",T660&lt;&gt;"",U660&lt;&gt;"",V660&lt;&gt;"",W660&lt;&gt;"",X660&lt;&gt;"",Y660&lt;&gt;"",AC660="UNIQUE"),"READY","CHECK")))</f>
        <v/>
      </c>
    </row>
    <row r="661">
      <c r="A661" s="25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37" t="n"/>
      <c r="K661" s="34" t="n"/>
      <c r="L661" s="26" t="n"/>
      <c r="M661" s="37" t="n"/>
      <c r="N661" s="37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34" t="n"/>
      <c r="Y661" s="26" t="n"/>
      <c r="Z661" s="26" t="n"/>
      <c r="AA661" s="26" t="n"/>
      <c r="AB661" s="27" t="n"/>
      <c r="AC661" s="32">
        <f>IF(A661="","",IF(COUNTIF($H$5:$H$1004,H661)&gt;1,"DUPLICATE","UNIQUE"))</f>
        <v/>
      </c>
      <c r="AD661" s="32">
        <f>IF(A661="","",IF(AA661="Rejected",IF(AB661&lt;&gt;"","REJECTED","ADD REASON"),IF(AND(B661&lt;&gt;"",C661&lt;&gt;"",D661&lt;&gt;"",E661&lt;&gt;"",F661&lt;&gt;"",G661&lt;&gt;"",H661&lt;&gt;"",J661&lt;&gt;"",K661&lt;&gt;"",L661&lt;&gt;"",M661&lt;&gt;"",N661&lt;&gt;"",O661&lt;&gt;"",P661&lt;&gt;"",Q661&lt;&gt;"",R661&lt;&gt;"",S661&lt;&gt;"",T661&lt;&gt;"",U661&lt;&gt;"",V661&lt;&gt;"",W661&lt;&gt;"",X661&lt;&gt;"",Y661&lt;&gt;"",AC661="UNIQUE"),"READY","CHECK")))</f>
        <v/>
      </c>
    </row>
    <row r="662">
      <c r="A662" s="25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37" t="n"/>
      <c r="K662" s="34" t="n"/>
      <c r="L662" s="26" t="n"/>
      <c r="M662" s="37" t="n"/>
      <c r="N662" s="37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34" t="n"/>
      <c r="Y662" s="26" t="n"/>
      <c r="Z662" s="26" t="n"/>
      <c r="AA662" s="26" t="n"/>
      <c r="AB662" s="27" t="n"/>
      <c r="AC662" s="32">
        <f>IF(A662="","",IF(COUNTIF($H$5:$H$1004,H662)&gt;1,"DUPLICATE","UNIQUE"))</f>
        <v/>
      </c>
      <c r="AD662" s="32">
        <f>IF(A662="","",IF(AA662="Rejected",IF(AB662&lt;&gt;"","REJECTED","ADD REASON"),IF(AND(B662&lt;&gt;"",C662&lt;&gt;"",D662&lt;&gt;"",E662&lt;&gt;"",F662&lt;&gt;"",G662&lt;&gt;"",H662&lt;&gt;"",J662&lt;&gt;"",K662&lt;&gt;"",L662&lt;&gt;"",M662&lt;&gt;"",N662&lt;&gt;"",O662&lt;&gt;"",P662&lt;&gt;"",Q662&lt;&gt;"",R662&lt;&gt;"",S662&lt;&gt;"",T662&lt;&gt;"",U662&lt;&gt;"",V662&lt;&gt;"",W662&lt;&gt;"",X662&lt;&gt;"",Y662&lt;&gt;"",AC662="UNIQUE"),"READY","CHECK")))</f>
        <v/>
      </c>
    </row>
    <row r="663">
      <c r="A663" s="25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37" t="n"/>
      <c r="K663" s="34" t="n"/>
      <c r="L663" s="26" t="n"/>
      <c r="M663" s="37" t="n"/>
      <c r="N663" s="37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34" t="n"/>
      <c r="Y663" s="26" t="n"/>
      <c r="Z663" s="26" t="n"/>
      <c r="AA663" s="26" t="n"/>
      <c r="AB663" s="27" t="n"/>
      <c r="AC663" s="32">
        <f>IF(A663="","",IF(COUNTIF($H$5:$H$1004,H663)&gt;1,"DUPLICATE","UNIQUE"))</f>
        <v/>
      </c>
      <c r="AD663" s="32">
        <f>IF(A663="","",IF(AA663="Rejected",IF(AB663&lt;&gt;"","REJECTED","ADD REASON"),IF(AND(B663&lt;&gt;"",C663&lt;&gt;"",D663&lt;&gt;"",E663&lt;&gt;"",F663&lt;&gt;"",G663&lt;&gt;"",H663&lt;&gt;"",J663&lt;&gt;"",K663&lt;&gt;"",L663&lt;&gt;"",M663&lt;&gt;"",N663&lt;&gt;"",O663&lt;&gt;"",P663&lt;&gt;"",Q663&lt;&gt;"",R663&lt;&gt;"",S663&lt;&gt;"",T663&lt;&gt;"",U663&lt;&gt;"",V663&lt;&gt;"",W663&lt;&gt;"",X663&lt;&gt;"",Y663&lt;&gt;"",AC663="UNIQUE"),"READY","CHECK")))</f>
        <v/>
      </c>
    </row>
    <row r="664">
      <c r="A664" s="25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37" t="n"/>
      <c r="K664" s="34" t="n"/>
      <c r="L664" s="26" t="n"/>
      <c r="M664" s="37" t="n"/>
      <c r="N664" s="37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34" t="n"/>
      <c r="Y664" s="26" t="n"/>
      <c r="Z664" s="26" t="n"/>
      <c r="AA664" s="26" t="n"/>
      <c r="AB664" s="27" t="n"/>
      <c r="AC664" s="32">
        <f>IF(A664="","",IF(COUNTIF($H$5:$H$1004,H664)&gt;1,"DUPLICATE","UNIQUE"))</f>
        <v/>
      </c>
      <c r="AD664" s="32">
        <f>IF(A664="","",IF(AA664="Rejected",IF(AB664&lt;&gt;"","REJECTED","ADD REASON"),IF(AND(B664&lt;&gt;"",C664&lt;&gt;"",D664&lt;&gt;"",E664&lt;&gt;"",F664&lt;&gt;"",G664&lt;&gt;"",H664&lt;&gt;"",J664&lt;&gt;"",K664&lt;&gt;"",L664&lt;&gt;"",M664&lt;&gt;"",N664&lt;&gt;"",O664&lt;&gt;"",P664&lt;&gt;"",Q664&lt;&gt;"",R664&lt;&gt;"",S664&lt;&gt;"",T664&lt;&gt;"",U664&lt;&gt;"",V664&lt;&gt;"",W664&lt;&gt;"",X664&lt;&gt;"",Y664&lt;&gt;"",AC664="UNIQUE"),"READY","CHECK")))</f>
        <v/>
      </c>
    </row>
    <row r="665">
      <c r="A665" s="25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37" t="n"/>
      <c r="K665" s="34" t="n"/>
      <c r="L665" s="26" t="n"/>
      <c r="M665" s="37" t="n"/>
      <c r="N665" s="37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34" t="n"/>
      <c r="Y665" s="26" t="n"/>
      <c r="Z665" s="26" t="n"/>
      <c r="AA665" s="26" t="n"/>
      <c r="AB665" s="27" t="n"/>
      <c r="AC665" s="32">
        <f>IF(A665="","",IF(COUNTIF($H$5:$H$1004,H665)&gt;1,"DUPLICATE","UNIQUE"))</f>
        <v/>
      </c>
      <c r="AD665" s="32">
        <f>IF(A665="","",IF(AA665="Rejected",IF(AB665&lt;&gt;"","REJECTED","ADD REASON"),IF(AND(B665&lt;&gt;"",C665&lt;&gt;"",D665&lt;&gt;"",E665&lt;&gt;"",F665&lt;&gt;"",G665&lt;&gt;"",H665&lt;&gt;"",J665&lt;&gt;"",K665&lt;&gt;"",L665&lt;&gt;"",M665&lt;&gt;"",N665&lt;&gt;"",O665&lt;&gt;"",P665&lt;&gt;"",Q665&lt;&gt;"",R665&lt;&gt;"",S665&lt;&gt;"",T665&lt;&gt;"",U665&lt;&gt;"",V665&lt;&gt;"",W665&lt;&gt;"",X665&lt;&gt;"",Y665&lt;&gt;"",AC665="UNIQUE"),"READY","CHECK")))</f>
        <v/>
      </c>
    </row>
    <row r="666">
      <c r="A666" s="25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37" t="n"/>
      <c r="K666" s="34" t="n"/>
      <c r="L666" s="26" t="n"/>
      <c r="M666" s="37" t="n"/>
      <c r="N666" s="37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34" t="n"/>
      <c r="Y666" s="26" t="n"/>
      <c r="Z666" s="26" t="n"/>
      <c r="AA666" s="26" t="n"/>
      <c r="AB666" s="27" t="n"/>
      <c r="AC666" s="32">
        <f>IF(A666="","",IF(COUNTIF($H$5:$H$1004,H666)&gt;1,"DUPLICATE","UNIQUE"))</f>
        <v/>
      </c>
      <c r="AD666" s="32">
        <f>IF(A666="","",IF(AA666="Rejected",IF(AB666&lt;&gt;"","REJECTED","ADD REASON"),IF(AND(B666&lt;&gt;"",C666&lt;&gt;"",D666&lt;&gt;"",E666&lt;&gt;"",F666&lt;&gt;"",G666&lt;&gt;"",H666&lt;&gt;"",J666&lt;&gt;"",K666&lt;&gt;"",L666&lt;&gt;"",M666&lt;&gt;"",N666&lt;&gt;"",O666&lt;&gt;"",P666&lt;&gt;"",Q666&lt;&gt;"",R666&lt;&gt;"",S666&lt;&gt;"",T666&lt;&gt;"",U666&lt;&gt;"",V666&lt;&gt;"",W666&lt;&gt;"",X666&lt;&gt;"",Y666&lt;&gt;"",AC666="UNIQUE"),"READY","CHECK")))</f>
        <v/>
      </c>
    </row>
    <row r="667">
      <c r="A667" s="25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37" t="n"/>
      <c r="K667" s="34" t="n"/>
      <c r="L667" s="26" t="n"/>
      <c r="M667" s="37" t="n"/>
      <c r="N667" s="37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34" t="n"/>
      <c r="Y667" s="26" t="n"/>
      <c r="Z667" s="26" t="n"/>
      <c r="AA667" s="26" t="n"/>
      <c r="AB667" s="27" t="n"/>
      <c r="AC667" s="32">
        <f>IF(A667="","",IF(COUNTIF($H$5:$H$1004,H667)&gt;1,"DUPLICATE","UNIQUE"))</f>
        <v/>
      </c>
      <c r="AD667" s="32">
        <f>IF(A667="","",IF(AA667="Rejected",IF(AB667&lt;&gt;"","REJECTED","ADD REASON"),IF(AND(B667&lt;&gt;"",C667&lt;&gt;"",D667&lt;&gt;"",E667&lt;&gt;"",F667&lt;&gt;"",G667&lt;&gt;"",H667&lt;&gt;"",J667&lt;&gt;"",K667&lt;&gt;"",L667&lt;&gt;"",M667&lt;&gt;"",N667&lt;&gt;"",O667&lt;&gt;"",P667&lt;&gt;"",Q667&lt;&gt;"",R667&lt;&gt;"",S667&lt;&gt;"",T667&lt;&gt;"",U667&lt;&gt;"",V667&lt;&gt;"",W667&lt;&gt;"",X667&lt;&gt;"",Y667&lt;&gt;"",AC667="UNIQUE"),"READY","CHECK")))</f>
        <v/>
      </c>
    </row>
    <row r="668">
      <c r="A668" s="25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37" t="n"/>
      <c r="K668" s="34" t="n"/>
      <c r="L668" s="26" t="n"/>
      <c r="M668" s="37" t="n"/>
      <c r="N668" s="37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34" t="n"/>
      <c r="Y668" s="26" t="n"/>
      <c r="Z668" s="26" t="n"/>
      <c r="AA668" s="26" t="n"/>
      <c r="AB668" s="27" t="n"/>
      <c r="AC668" s="32">
        <f>IF(A668="","",IF(COUNTIF($H$5:$H$1004,H668)&gt;1,"DUPLICATE","UNIQUE"))</f>
        <v/>
      </c>
      <c r="AD668" s="32">
        <f>IF(A668="","",IF(AA668="Rejected",IF(AB668&lt;&gt;"","REJECTED","ADD REASON"),IF(AND(B668&lt;&gt;"",C668&lt;&gt;"",D668&lt;&gt;"",E668&lt;&gt;"",F668&lt;&gt;"",G668&lt;&gt;"",H668&lt;&gt;"",J668&lt;&gt;"",K668&lt;&gt;"",L668&lt;&gt;"",M668&lt;&gt;"",N668&lt;&gt;"",O668&lt;&gt;"",P668&lt;&gt;"",Q668&lt;&gt;"",R668&lt;&gt;"",S668&lt;&gt;"",T668&lt;&gt;"",U668&lt;&gt;"",V668&lt;&gt;"",W668&lt;&gt;"",X668&lt;&gt;"",Y668&lt;&gt;"",AC668="UNIQUE"),"READY","CHECK")))</f>
        <v/>
      </c>
    </row>
    <row r="669">
      <c r="A669" s="25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37" t="n"/>
      <c r="K669" s="34" t="n"/>
      <c r="L669" s="26" t="n"/>
      <c r="M669" s="37" t="n"/>
      <c r="N669" s="37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34" t="n"/>
      <c r="Y669" s="26" t="n"/>
      <c r="Z669" s="26" t="n"/>
      <c r="AA669" s="26" t="n"/>
      <c r="AB669" s="27" t="n"/>
      <c r="AC669" s="32">
        <f>IF(A669="","",IF(COUNTIF($H$5:$H$1004,H669)&gt;1,"DUPLICATE","UNIQUE"))</f>
        <v/>
      </c>
      <c r="AD669" s="32">
        <f>IF(A669="","",IF(AA669="Rejected",IF(AB669&lt;&gt;"","REJECTED","ADD REASON"),IF(AND(B669&lt;&gt;"",C669&lt;&gt;"",D669&lt;&gt;"",E669&lt;&gt;"",F669&lt;&gt;"",G669&lt;&gt;"",H669&lt;&gt;"",J669&lt;&gt;"",K669&lt;&gt;"",L669&lt;&gt;"",M669&lt;&gt;"",N669&lt;&gt;"",O669&lt;&gt;"",P669&lt;&gt;"",Q669&lt;&gt;"",R669&lt;&gt;"",S669&lt;&gt;"",T669&lt;&gt;"",U669&lt;&gt;"",V669&lt;&gt;"",W669&lt;&gt;"",X669&lt;&gt;"",Y669&lt;&gt;"",AC669="UNIQUE"),"READY","CHECK")))</f>
        <v/>
      </c>
    </row>
    <row r="670">
      <c r="A670" s="25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37" t="n"/>
      <c r="K670" s="34" t="n"/>
      <c r="L670" s="26" t="n"/>
      <c r="M670" s="37" t="n"/>
      <c r="N670" s="37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34" t="n"/>
      <c r="Y670" s="26" t="n"/>
      <c r="Z670" s="26" t="n"/>
      <c r="AA670" s="26" t="n"/>
      <c r="AB670" s="27" t="n"/>
      <c r="AC670" s="32">
        <f>IF(A670="","",IF(COUNTIF($H$5:$H$1004,H670)&gt;1,"DUPLICATE","UNIQUE"))</f>
        <v/>
      </c>
      <c r="AD670" s="32">
        <f>IF(A670="","",IF(AA670="Rejected",IF(AB670&lt;&gt;"","REJECTED","ADD REASON"),IF(AND(B670&lt;&gt;"",C670&lt;&gt;"",D670&lt;&gt;"",E670&lt;&gt;"",F670&lt;&gt;"",G670&lt;&gt;"",H670&lt;&gt;"",J670&lt;&gt;"",K670&lt;&gt;"",L670&lt;&gt;"",M670&lt;&gt;"",N670&lt;&gt;"",O670&lt;&gt;"",P670&lt;&gt;"",Q670&lt;&gt;"",R670&lt;&gt;"",S670&lt;&gt;"",T670&lt;&gt;"",U670&lt;&gt;"",V670&lt;&gt;"",W670&lt;&gt;"",X670&lt;&gt;"",Y670&lt;&gt;"",AC670="UNIQUE"),"READY","CHECK")))</f>
        <v/>
      </c>
    </row>
    <row r="671">
      <c r="A671" s="25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37" t="n"/>
      <c r="K671" s="34" t="n"/>
      <c r="L671" s="26" t="n"/>
      <c r="M671" s="37" t="n"/>
      <c r="N671" s="37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34" t="n"/>
      <c r="Y671" s="26" t="n"/>
      <c r="Z671" s="26" t="n"/>
      <c r="AA671" s="26" t="n"/>
      <c r="AB671" s="27" t="n"/>
      <c r="AC671" s="32">
        <f>IF(A671="","",IF(COUNTIF($H$5:$H$1004,H671)&gt;1,"DUPLICATE","UNIQUE"))</f>
        <v/>
      </c>
      <c r="AD671" s="32">
        <f>IF(A671="","",IF(AA671="Rejected",IF(AB671&lt;&gt;"","REJECTED","ADD REASON"),IF(AND(B671&lt;&gt;"",C671&lt;&gt;"",D671&lt;&gt;"",E671&lt;&gt;"",F671&lt;&gt;"",G671&lt;&gt;"",H671&lt;&gt;"",J671&lt;&gt;"",K671&lt;&gt;"",L671&lt;&gt;"",M671&lt;&gt;"",N671&lt;&gt;"",O671&lt;&gt;"",P671&lt;&gt;"",Q671&lt;&gt;"",R671&lt;&gt;"",S671&lt;&gt;"",T671&lt;&gt;"",U671&lt;&gt;"",V671&lt;&gt;"",W671&lt;&gt;"",X671&lt;&gt;"",Y671&lt;&gt;"",AC671="UNIQUE"),"READY","CHECK")))</f>
        <v/>
      </c>
    </row>
    <row r="672">
      <c r="A672" s="25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37" t="n"/>
      <c r="K672" s="34" t="n"/>
      <c r="L672" s="26" t="n"/>
      <c r="M672" s="37" t="n"/>
      <c r="N672" s="37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34" t="n"/>
      <c r="Y672" s="26" t="n"/>
      <c r="Z672" s="26" t="n"/>
      <c r="AA672" s="26" t="n"/>
      <c r="AB672" s="27" t="n"/>
      <c r="AC672" s="32">
        <f>IF(A672="","",IF(COUNTIF($H$5:$H$1004,H672)&gt;1,"DUPLICATE","UNIQUE"))</f>
        <v/>
      </c>
      <c r="AD672" s="32">
        <f>IF(A672="","",IF(AA672="Rejected",IF(AB672&lt;&gt;"","REJECTED","ADD REASON"),IF(AND(B672&lt;&gt;"",C672&lt;&gt;"",D672&lt;&gt;"",E672&lt;&gt;"",F672&lt;&gt;"",G672&lt;&gt;"",H672&lt;&gt;"",J672&lt;&gt;"",K672&lt;&gt;"",L672&lt;&gt;"",M672&lt;&gt;"",N672&lt;&gt;"",O672&lt;&gt;"",P672&lt;&gt;"",Q672&lt;&gt;"",R672&lt;&gt;"",S672&lt;&gt;"",T672&lt;&gt;"",U672&lt;&gt;"",V672&lt;&gt;"",W672&lt;&gt;"",X672&lt;&gt;"",Y672&lt;&gt;"",AC672="UNIQUE"),"READY","CHECK")))</f>
        <v/>
      </c>
    </row>
    <row r="673">
      <c r="A673" s="25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37" t="n"/>
      <c r="K673" s="34" t="n"/>
      <c r="L673" s="26" t="n"/>
      <c r="M673" s="37" t="n"/>
      <c r="N673" s="37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34" t="n"/>
      <c r="Y673" s="26" t="n"/>
      <c r="Z673" s="26" t="n"/>
      <c r="AA673" s="26" t="n"/>
      <c r="AB673" s="27" t="n"/>
      <c r="AC673" s="32">
        <f>IF(A673="","",IF(COUNTIF($H$5:$H$1004,H673)&gt;1,"DUPLICATE","UNIQUE"))</f>
        <v/>
      </c>
      <c r="AD673" s="32">
        <f>IF(A673="","",IF(AA673="Rejected",IF(AB673&lt;&gt;"","REJECTED","ADD REASON"),IF(AND(B673&lt;&gt;"",C673&lt;&gt;"",D673&lt;&gt;"",E673&lt;&gt;"",F673&lt;&gt;"",G673&lt;&gt;"",H673&lt;&gt;"",J673&lt;&gt;"",K673&lt;&gt;"",L673&lt;&gt;"",M673&lt;&gt;"",N673&lt;&gt;"",O673&lt;&gt;"",P673&lt;&gt;"",Q673&lt;&gt;"",R673&lt;&gt;"",S673&lt;&gt;"",T673&lt;&gt;"",U673&lt;&gt;"",V673&lt;&gt;"",W673&lt;&gt;"",X673&lt;&gt;"",Y673&lt;&gt;"",AC673="UNIQUE"),"READY","CHECK")))</f>
        <v/>
      </c>
    </row>
    <row r="674">
      <c r="A674" s="25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37" t="n"/>
      <c r="K674" s="34" t="n"/>
      <c r="L674" s="26" t="n"/>
      <c r="M674" s="37" t="n"/>
      <c r="N674" s="37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34" t="n"/>
      <c r="Y674" s="26" t="n"/>
      <c r="Z674" s="26" t="n"/>
      <c r="AA674" s="26" t="n"/>
      <c r="AB674" s="27" t="n"/>
      <c r="AC674" s="32">
        <f>IF(A674="","",IF(COUNTIF($H$5:$H$1004,H674)&gt;1,"DUPLICATE","UNIQUE"))</f>
        <v/>
      </c>
      <c r="AD674" s="32">
        <f>IF(A674="","",IF(AA674="Rejected",IF(AB674&lt;&gt;"","REJECTED","ADD REASON"),IF(AND(B674&lt;&gt;"",C674&lt;&gt;"",D674&lt;&gt;"",E674&lt;&gt;"",F674&lt;&gt;"",G674&lt;&gt;"",H674&lt;&gt;"",J674&lt;&gt;"",K674&lt;&gt;"",L674&lt;&gt;"",M674&lt;&gt;"",N674&lt;&gt;"",O674&lt;&gt;"",P674&lt;&gt;"",Q674&lt;&gt;"",R674&lt;&gt;"",S674&lt;&gt;"",T674&lt;&gt;"",U674&lt;&gt;"",V674&lt;&gt;"",W674&lt;&gt;"",X674&lt;&gt;"",Y674&lt;&gt;"",AC674="UNIQUE"),"READY","CHECK")))</f>
        <v/>
      </c>
    </row>
    <row r="675">
      <c r="A675" s="25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37" t="n"/>
      <c r="K675" s="34" t="n"/>
      <c r="L675" s="26" t="n"/>
      <c r="M675" s="37" t="n"/>
      <c r="N675" s="37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34" t="n"/>
      <c r="Y675" s="26" t="n"/>
      <c r="Z675" s="26" t="n"/>
      <c r="AA675" s="26" t="n"/>
      <c r="AB675" s="27" t="n"/>
      <c r="AC675" s="32">
        <f>IF(A675="","",IF(COUNTIF($H$5:$H$1004,H675)&gt;1,"DUPLICATE","UNIQUE"))</f>
        <v/>
      </c>
      <c r="AD675" s="32">
        <f>IF(A675="","",IF(AA675="Rejected",IF(AB675&lt;&gt;"","REJECTED","ADD REASON"),IF(AND(B675&lt;&gt;"",C675&lt;&gt;"",D675&lt;&gt;"",E675&lt;&gt;"",F675&lt;&gt;"",G675&lt;&gt;"",H675&lt;&gt;"",J675&lt;&gt;"",K675&lt;&gt;"",L675&lt;&gt;"",M675&lt;&gt;"",N675&lt;&gt;"",O675&lt;&gt;"",P675&lt;&gt;"",Q675&lt;&gt;"",R675&lt;&gt;"",S675&lt;&gt;"",T675&lt;&gt;"",U675&lt;&gt;"",V675&lt;&gt;"",W675&lt;&gt;"",X675&lt;&gt;"",Y675&lt;&gt;"",AC675="UNIQUE"),"READY","CHECK")))</f>
        <v/>
      </c>
    </row>
    <row r="676">
      <c r="A676" s="25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37" t="n"/>
      <c r="K676" s="34" t="n"/>
      <c r="L676" s="26" t="n"/>
      <c r="M676" s="37" t="n"/>
      <c r="N676" s="37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34" t="n"/>
      <c r="Y676" s="26" t="n"/>
      <c r="Z676" s="26" t="n"/>
      <c r="AA676" s="26" t="n"/>
      <c r="AB676" s="27" t="n"/>
      <c r="AC676" s="32">
        <f>IF(A676="","",IF(COUNTIF($H$5:$H$1004,H676)&gt;1,"DUPLICATE","UNIQUE"))</f>
        <v/>
      </c>
      <c r="AD676" s="32">
        <f>IF(A676="","",IF(AA676="Rejected",IF(AB676&lt;&gt;"","REJECTED","ADD REASON"),IF(AND(B676&lt;&gt;"",C676&lt;&gt;"",D676&lt;&gt;"",E676&lt;&gt;"",F676&lt;&gt;"",G676&lt;&gt;"",H676&lt;&gt;"",J676&lt;&gt;"",K676&lt;&gt;"",L676&lt;&gt;"",M676&lt;&gt;"",N676&lt;&gt;"",O676&lt;&gt;"",P676&lt;&gt;"",Q676&lt;&gt;"",R676&lt;&gt;"",S676&lt;&gt;"",T676&lt;&gt;"",U676&lt;&gt;"",V676&lt;&gt;"",W676&lt;&gt;"",X676&lt;&gt;"",Y676&lt;&gt;"",AC676="UNIQUE"),"READY","CHECK")))</f>
        <v/>
      </c>
    </row>
    <row r="677">
      <c r="A677" s="25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37" t="n"/>
      <c r="K677" s="34" t="n"/>
      <c r="L677" s="26" t="n"/>
      <c r="M677" s="37" t="n"/>
      <c r="N677" s="37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34" t="n"/>
      <c r="Y677" s="26" t="n"/>
      <c r="Z677" s="26" t="n"/>
      <c r="AA677" s="26" t="n"/>
      <c r="AB677" s="27" t="n"/>
      <c r="AC677" s="32">
        <f>IF(A677="","",IF(COUNTIF($H$5:$H$1004,H677)&gt;1,"DUPLICATE","UNIQUE"))</f>
        <v/>
      </c>
      <c r="AD677" s="32">
        <f>IF(A677="","",IF(AA677="Rejected",IF(AB677&lt;&gt;"","REJECTED","ADD REASON"),IF(AND(B677&lt;&gt;"",C677&lt;&gt;"",D677&lt;&gt;"",E677&lt;&gt;"",F677&lt;&gt;"",G677&lt;&gt;"",H677&lt;&gt;"",J677&lt;&gt;"",K677&lt;&gt;"",L677&lt;&gt;"",M677&lt;&gt;"",N677&lt;&gt;"",O677&lt;&gt;"",P677&lt;&gt;"",Q677&lt;&gt;"",R677&lt;&gt;"",S677&lt;&gt;"",T677&lt;&gt;"",U677&lt;&gt;"",V677&lt;&gt;"",W677&lt;&gt;"",X677&lt;&gt;"",Y677&lt;&gt;"",AC677="UNIQUE"),"READY","CHECK")))</f>
        <v/>
      </c>
    </row>
    <row r="678">
      <c r="A678" s="25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37" t="n"/>
      <c r="K678" s="34" t="n"/>
      <c r="L678" s="26" t="n"/>
      <c r="M678" s="37" t="n"/>
      <c r="N678" s="37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34" t="n"/>
      <c r="Y678" s="26" t="n"/>
      <c r="Z678" s="26" t="n"/>
      <c r="AA678" s="26" t="n"/>
      <c r="AB678" s="27" t="n"/>
      <c r="AC678" s="32">
        <f>IF(A678="","",IF(COUNTIF($H$5:$H$1004,H678)&gt;1,"DUPLICATE","UNIQUE"))</f>
        <v/>
      </c>
      <c r="AD678" s="32">
        <f>IF(A678="","",IF(AA678="Rejected",IF(AB678&lt;&gt;"","REJECTED","ADD REASON"),IF(AND(B678&lt;&gt;"",C678&lt;&gt;"",D678&lt;&gt;"",E678&lt;&gt;"",F678&lt;&gt;"",G678&lt;&gt;"",H678&lt;&gt;"",J678&lt;&gt;"",K678&lt;&gt;"",L678&lt;&gt;"",M678&lt;&gt;"",N678&lt;&gt;"",O678&lt;&gt;"",P678&lt;&gt;"",Q678&lt;&gt;"",R678&lt;&gt;"",S678&lt;&gt;"",T678&lt;&gt;"",U678&lt;&gt;"",V678&lt;&gt;"",W678&lt;&gt;"",X678&lt;&gt;"",Y678&lt;&gt;"",AC678="UNIQUE"),"READY","CHECK")))</f>
        <v/>
      </c>
    </row>
    <row r="679">
      <c r="A679" s="25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37" t="n"/>
      <c r="K679" s="34" t="n"/>
      <c r="L679" s="26" t="n"/>
      <c r="M679" s="37" t="n"/>
      <c r="N679" s="37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34" t="n"/>
      <c r="Y679" s="26" t="n"/>
      <c r="Z679" s="26" t="n"/>
      <c r="AA679" s="26" t="n"/>
      <c r="AB679" s="27" t="n"/>
      <c r="AC679" s="32">
        <f>IF(A679="","",IF(COUNTIF($H$5:$H$1004,H679)&gt;1,"DUPLICATE","UNIQUE"))</f>
        <v/>
      </c>
      <c r="AD679" s="32">
        <f>IF(A679="","",IF(AA679="Rejected",IF(AB679&lt;&gt;"","REJECTED","ADD REASON"),IF(AND(B679&lt;&gt;"",C679&lt;&gt;"",D679&lt;&gt;"",E679&lt;&gt;"",F679&lt;&gt;"",G679&lt;&gt;"",H679&lt;&gt;"",J679&lt;&gt;"",K679&lt;&gt;"",L679&lt;&gt;"",M679&lt;&gt;"",N679&lt;&gt;"",O679&lt;&gt;"",P679&lt;&gt;"",Q679&lt;&gt;"",R679&lt;&gt;"",S679&lt;&gt;"",T679&lt;&gt;"",U679&lt;&gt;"",V679&lt;&gt;"",W679&lt;&gt;"",X679&lt;&gt;"",Y679&lt;&gt;"",AC679="UNIQUE"),"READY","CHECK")))</f>
        <v/>
      </c>
    </row>
    <row r="680">
      <c r="A680" s="25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37" t="n"/>
      <c r="K680" s="34" t="n"/>
      <c r="L680" s="26" t="n"/>
      <c r="M680" s="37" t="n"/>
      <c r="N680" s="37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34" t="n"/>
      <c r="Y680" s="26" t="n"/>
      <c r="Z680" s="26" t="n"/>
      <c r="AA680" s="26" t="n"/>
      <c r="AB680" s="27" t="n"/>
      <c r="AC680" s="32">
        <f>IF(A680="","",IF(COUNTIF($H$5:$H$1004,H680)&gt;1,"DUPLICATE","UNIQUE"))</f>
        <v/>
      </c>
      <c r="AD680" s="32">
        <f>IF(A680="","",IF(AA680="Rejected",IF(AB680&lt;&gt;"","REJECTED","ADD REASON"),IF(AND(B680&lt;&gt;"",C680&lt;&gt;"",D680&lt;&gt;"",E680&lt;&gt;"",F680&lt;&gt;"",G680&lt;&gt;"",H680&lt;&gt;"",J680&lt;&gt;"",K680&lt;&gt;"",L680&lt;&gt;"",M680&lt;&gt;"",N680&lt;&gt;"",O680&lt;&gt;"",P680&lt;&gt;"",Q680&lt;&gt;"",R680&lt;&gt;"",S680&lt;&gt;"",T680&lt;&gt;"",U680&lt;&gt;"",V680&lt;&gt;"",W680&lt;&gt;"",X680&lt;&gt;"",Y680&lt;&gt;"",AC680="UNIQUE"),"READY","CHECK")))</f>
        <v/>
      </c>
    </row>
    <row r="681">
      <c r="A681" s="25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37" t="n"/>
      <c r="K681" s="34" t="n"/>
      <c r="L681" s="26" t="n"/>
      <c r="M681" s="37" t="n"/>
      <c r="N681" s="37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34" t="n"/>
      <c r="Y681" s="26" t="n"/>
      <c r="Z681" s="26" t="n"/>
      <c r="AA681" s="26" t="n"/>
      <c r="AB681" s="27" t="n"/>
      <c r="AC681" s="32">
        <f>IF(A681="","",IF(COUNTIF($H$5:$H$1004,H681)&gt;1,"DUPLICATE","UNIQUE"))</f>
        <v/>
      </c>
      <c r="AD681" s="32">
        <f>IF(A681="","",IF(AA681="Rejected",IF(AB681&lt;&gt;"","REJECTED","ADD REASON"),IF(AND(B681&lt;&gt;"",C681&lt;&gt;"",D681&lt;&gt;"",E681&lt;&gt;"",F681&lt;&gt;"",G681&lt;&gt;"",H681&lt;&gt;"",J681&lt;&gt;"",K681&lt;&gt;"",L681&lt;&gt;"",M681&lt;&gt;"",N681&lt;&gt;"",O681&lt;&gt;"",P681&lt;&gt;"",Q681&lt;&gt;"",R681&lt;&gt;"",S681&lt;&gt;"",T681&lt;&gt;"",U681&lt;&gt;"",V681&lt;&gt;"",W681&lt;&gt;"",X681&lt;&gt;"",Y681&lt;&gt;"",AC681="UNIQUE"),"READY","CHECK")))</f>
        <v/>
      </c>
    </row>
    <row r="682">
      <c r="A682" s="25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37" t="n"/>
      <c r="K682" s="34" t="n"/>
      <c r="L682" s="26" t="n"/>
      <c r="M682" s="37" t="n"/>
      <c r="N682" s="37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34" t="n"/>
      <c r="Y682" s="26" t="n"/>
      <c r="Z682" s="26" t="n"/>
      <c r="AA682" s="26" t="n"/>
      <c r="AB682" s="27" t="n"/>
      <c r="AC682" s="32">
        <f>IF(A682="","",IF(COUNTIF($H$5:$H$1004,H682)&gt;1,"DUPLICATE","UNIQUE"))</f>
        <v/>
      </c>
      <c r="AD682" s="32">
        <f>IF(A682="","",IF(AA682="Rejected",IF(AB682&lt;&gt;"","REJECTED","ADD REASON"),IF(AND(B682&lt;&gt;"",C682&lt;&gt;"",D682&lt;&gt;"",E682&lt;&gt;"",F682&lt;&gt;"",G682&lt;&gt;"",H682&lt;&gt;"",J682&lt;&gt;"",K682&lt;&gt;"",L682&lt;&gt;"",M682&lt;&gt;"",N682&lt;&gt;"",O682&lt;&gt;"",P682&lt;&gt;"",Q682&lt;&gt;"",R682&lt;&gt;"",S682&lt;&gt;"",T682&lt;&gt;"",U682&lt;&gt;"",V682&lt;&gt;"",W682&lt;&gt;"",X682&lt;&gt;"",Y682&lt;&gt;"",AC682="UNIQUE"),"READY","CHECK")))</f>
        <v/>
      </c>
    </row>
    <row r="683">
      <c r="A683" s="25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37" t="n"/>
      <c r="K683" s="34" t="n"/>
      <c r="L683" s="26" t="n"/>
      <c r="M683" s="37" t="n"/>
      <c r="N683" s="37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34" t="n"/>
      <c r="Y683" s="26" t="n"/>
      <c r="Z683" s="26" t="n"/>
      <c r="AA683" s="26" t="n"/>
      <c r="AB683" s="27" t="n"/>
      <c r="AC683" s="32">
        <f>IF(A683="","",IF(COUNTIF($H$5:$H$1004,H683)&gt;1,"DUPLICATE","UNIQUE"))</f>
        <v/>
      </c>
      <c r="AD683" s="32">
        <f>IF(A683="","",IF(AA683="Rejected",IF(AB683&lt;&gt;"","REJECTED","ADD REASON"),IF(AND(B683&lt;&gt;"",C683&lt;&gt;"",D683&lt;&gt;"",E683&lt;&gt;"",F683&lt;&gt;"",G683&lt;&gt;"",H683&lt;&gt;"",J683&lt;&gt;"",K683&lt;&gt;"",L683&lt;&gt;"",M683&lt;&gt;"",N683&lt;&gt;"",O683&lt;&gt;"",P683&lt;&gt;"",Q683&lt;&gt;"",R683&lt;&gt;"",S683&lt;&gt;"",T683&lt;&gt;"",U683&lt;&gt;"",V683&lt;&gt;"",W683&lt;&gt;"",X683&lt;&gt;"",Y683&lt;&gt;"",AC683="UNIQUE"),"READY","CHECK")))</f>
        <v/>
      </c>
    </row>
    <row r="684">
      <c r="A684" s="25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37" t="n"/>
      <c r="K684" s="34" t="n"/>
      <c r="L684" s="26" t="n"/>
      <c r="M684" s="37" t="n"/>
      <c r="N684" s="37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34" t="n"/>
      <c r="Y684" s="26" t="n"/>
      <c r="Z684" s="26" t="n"/>
      <c r="AA684" s="26" t="n"/>
      <c r="AB684" s="27" t="n"/>
      <c r="AC684" s="32">
        <f>IF(A684="","",IF(COUNTIF($H$5:$H$1004,H684)&gt;1,"DUPLICATE","UNIQUE"))</f>
        <v/>
      </c>
      <c r="AD684" s="32">
        <f>IF(A684="","",IF(AA684="Rejected",IF(AB684&lt;&gt;"","REJECTED","ADD REASON"),IF(AND(B684&lt;&gt;"",C684&lt;&gt;"",D684&lt;&gt;"",E684&lt;&gt;"",F684&lt;&gt;"",G684&lt;&gt;"",H684&lt;&gt;"",J684&lt;&gt;"",K684&lt;&gt;"",L684&lt;&gt;"",M684&lt;&gt;"",N684&lt;&gt;"",O684&lt;&gt;"",P684&lt;&gt;"",Q684&lt;&gt;"",R684&lt;&gt;"",S684&lt;&gt;"",T684&lt;&gt;"",U684&lt;&gt;"",V684&lt;&gt;"",W684&lt;&gt;"",X684&lt;&gt;"",Y684&lt;&gt;"",AC684="UNIQUE"),"READY","CHECK")))</f>
        <v/>
      </c>
    </row>
    <row r="685">
      <c r="A685" s="25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37" t="n"/>
      <c r="K685" s="34" t="n"/>
      <c r="L685" s="26" t="n"/>
      <c r="M685" s="37" t="n"/>
      <c r="N685" s="37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34" t="n"/>
      <c r="Y685" s="26" t="n"/>
      <c r="Z685" s="26" t="n"/>
      <c r="AA685" s="26" t="n"/>
      <c r="AB685" s="27" t="n"/>
      <c r="AC685" s="32">
        <f>IF(A685="","",IF(COUNTIF($H$5:$H$1004,H685)&gt;1,"DUPLICATE","UNIQUE"))</f>
        <v/>
      </c>
      <c r="AD685" s="32">
        <f>IF(A685="","",IF(AA685="Rejected",IF(AB685&lt;&gt;"","REJECTED","ADD REASON"),IF(AND(B685&lt;&gt;"",C685&lt;&gt;"",D685&lt;&gt;"",E685&lt;&gt;"",F685&lt;&gt;"",G685&lt;&gt;"",H685&lt;&gt;"",J685&lt;&gt;"",K685&lt;&gt;"",L685&lt;&gt;"",M685&lt;&gt;"",N685&lt;&gt;"",O685&lt;&gt;"",P685&lt;&gt;"",Q685&lt;&gt;"",R685&lt;&gt;"",S685&lt;&gt;"",T685&lt;&gt;"",U685&lt;&gt;"",V685&lt;&gt;"",W685&lt;&gt;"",X685&lt;&gt;"",Y685&lt;&gt;"",AC685="UNIQUE"),"READY","CHECK")))</f>
        <v/>
      </c>
    </row>
    <row r="686">
      <c r="A686" s="25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37" t="n"/>
      <c r="K686" s="34" t="n"/>
      <c r="L686" s="26" t="n"/>
      <c r="M686" s="37" t="n"/>
      <c r="N686" s="37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34" t="n"/>
      <c r="Y686" s="26" t="n"/>
      <c r="Z686" s="26" t="n"/>
      <c r="AA686" s="26" t="n"/>
      <c r="AB686" s="27" t="n"/>
      <c r="AC686" s="32">
        <f>IF(A686="","",IF(COUNTIF($H$5:$H$1004,H686)&gt;1,"DUPLICATE","UNIQUE"))</f>
        <v/>
      </c>
      <c r="AD686" s="32">
        <f>IF(A686="","",IF(AA686="Rejected",IF(AB686&lt;&gt;"","REJECTED","ADD REASON"),IF(AND(B686&lt;&gt;"",C686&lt;&gt;"",D686&lt;&gt;"",E686&lt;&gt;"",F686&lt;&gt;"",G686&lt;&gt;"",H686&lt;&gt;"",J686&lt;&gt;"",K686&lt;&gt;"",L686&lt;&gt;"",M686&lt;&gt;"",N686&lt;&gt;"",O686&lt;&gt;"",P686&lt;&gt;"",Q686&lt;&gt;"",R686&lt;&gt;"",S686&lt;&gt;"",T686&lt;&gt;"",U686&lt;&gt;"",V686&lt;&gt;"",W686&lt;&gt;"",X686&lt;&gt;"",Y686&lt;&gt;"",AC686="UNIQUE"),"READY","CHECK")))</f>
        <v/>
      </c>
    </row>
    <row r="687">
      <c r="A687" s="25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37" t="n"/>
      <c r="K687" s="34" t="n"/>
      <c r="L687" s="26" t="n"/>
      <c r="M687" s="37" t="n"/>
      <c r="N687" s="37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34" t="n"/>
      <c r="Y687" s="26" t="n"/>
      <c r="Z687" s="26" t="n"/>
      <c r="AA687" s="26" t="n"/>
      <c r="AB687" s="27" t="n"/>
      <c r="AC687" s="32">
        <f>IF(A687="","",IF(COUNTIF($H$5:$H$1004,H687)&gt;1,"DUPLICATE","UNIQUE"))</f>
        <v/>
      </c>
      <c r="AD687" s="32">
        <f>IF(A687="","",IF(AA687="Rejected",IF(AB687&lt;&gt;"","REJECTED","ADD REASON"),IF(AND(B687&lt;&gt;"",C687&lt;&gt;"",D687&lt;&gt;"",E687&lt;&gt;"",F687&lt;&gt;"",G687&lt;&gt;"",H687&lt;&gt;"",J687&lt;&gt;"",K687&lt;&gt;"",L687&lt;&gt;"",M687&lt;&gt;"",N687&lt;&gt;"",O687&lt;&gt;"",P687&lt;&gt;"",Q687&lt;&gt;"",R687&lt;&gt;"",S687&lt;&gt;"",T687&lt;&gt;"",U687&lt;&gt;"",V687&lt;&gt;"",W687&lt;&gt;"",X687&lt;&gt;"",Y687&lt;&gt;"",AC687="UNIQUE"),"READY","CHECK")))</f>
        <v/>
      </c>
    </row>
    <row r="688">
      <c r="A688" s="25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37" t="n"/>
      <c r="K688" s="34" t="n"/>
      <c r="L688" s="26" t="n"/>
      <c r="M688" s="37" t="n"/>
      <c r="N688" s="37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34" t="n"/>
      <c r="Y688" s="26" t="n"/>
      <c r="Z688" s="26" t="n"/>
      <c r="AA688" s="26" t="n"/>
      <c r="AB688" s="27" t="n"/>
      <c r="AC688" s="32">
        <f>IF(A688="","",IF(COUNTIF($H$5:$H$1004,H688)&gt;1,"DUPLICATE","UNIQUE"))</f>
        <v/>
      </c>
      <c r="AD688" s="32">
        <f>IF(A688="","",IF(AA688="Rejected",IF(AB688&lt;&gt;"","REJECTED","ADD REASON"),IF(AND(B688&lt;&gt;"",C688&lt;&gt;"",D688&lt;&gt;"",E688&lt;&gt;"",F688&lt;&gt;"",G688&lt;&gt;"",H688&lt;&gt;"",J688&lt;&gt;"",K688&lt;&gt;"",L688&lt;&gt;"",M688&lt;&gt;"",N688&lt;&gt;"",O688&lt;&gt;"",P688&lt;&gt;"",Q688&lt;&gt;"",R688&lt;&gt;"",S688&lt;&gt;"",T688&lt;&gt;"",U688&lt;&gt;"",V688&lt;&gt;"",W688&lt;&gt;"",X688&lt;&gt;"",Y688&lt;&gt;"",AC688="UNIQUE"),"READY","CHECK")))</f>
        <v/>
      </c>
    </row>
    <row r="689">
      <c r="A689" s="25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37" t="n"/>
      <c r="K689" s="34" t="n"/>
      <c r="L689" s="26" t="n"/>
      <c r="M689" s="37" t="n"/>
      <c r="N689" s="37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34" t="n"/>
      <c r="Y689" s="26" t="n"/>
      <c r="Z689" s="26" t="n"/>
      <c r="AA689" s="26" t="n"/>
      <c r="AB689" s="27" t="n"/>
      <c r="AC689" s="32">
        <f>IF(A689="","",IF(COUNTIF($H$5:$H$1004,H689)&gt;1,"DUPLICATE","UNIQUE"))</f>
        <v/>
      </c>
      <c r="AD689" s="32">
        <f>IF(A689="","",IF(AA689="Rejected",IF(AB689&lt;&gt;"","REJECTED","ADD REASON"),IF(AND(B689&lt;&gt;"",C689&lt;&gt;"",D689&lt;&gt;"",E689&lt;&gt;"",F689&lt;&gt;"",G689&lt;&gt;"",H689&lt;&gt;"",J689&lt;&gt;"",K689&lt;&gt;"",L689&lt;&gt;"",M689&lt;&gt;"",N689&lt;&gt;"",O689&lt;&gt;"",P689&lt;&gt;"",Q689&lt;&gt;"",R689&lt;&gt;"",S689&lt;&gt;"",T689&lt;&gt;"",U689&lt;&gt;"",V689&lt;&gt;"",W689&lt;&gt;"",X689&lt;&gt;"",Y689&lt;&gt;"",AC689="UNIQUE"),"READY","CHECK")))</f>
        <v/>
      </c>
    </row>
    <row r="690">
      <c r="A690" s="25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37" t="n"/>
      <c r="K690" s="34" t="n"/>
      <c r="L690" s="26" t="n"/>
      <c r="M690" s="37" t="n"/>
      <c r="N690" s="37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34" t="n"/>
      <c r="Y690" s="26" t="n"/>
      <c r="Z690" s="26" t="n"/>
      <c r="AA690" s="26" t="n"/>
      <c r="AB690" s="27" t="n"/>
      <c r="AC690" s="32">
        <f>IF(A690="","",IF(COUNTIF($H$5:$H$1004,H690)&gt;1,"DUPLICATE","UNIQUE"))</f>
        <v/>
      </c>
      <c r="AD690" s="32">
        <f>IF(A690="","",IF(AA690="Rejected",IF(AB690&lt;&gt;"","REJECTED","ADD REASON"),IF(AND(B690&lt;&gt;"",C690&lt;&gt;"",D690&lt;&gt;"",E690&lt;&gt;"",F690&lt;&gt;"",G690&lt;&gt;"",H690&lt;&gt;"",J690&lt;&gt;"",K690&lt;&gt;"",L690&lt;&gt;"",M690&lt;&gt;"",N690&lt;&gt;"",O690&lt;&gt;"",P690&lt;&gt;"",Q690&lt;&gt;"",R690&lt;&gt;"",S690&lt;&gt;"",T690&lt;&gt;"",U690&lt;&gt;"",V690&lt;&gt;"",W690&lt;&gt;"",X690&lt;&gt;"",Y690&lt;&gt;"",AC690="UNIQUE"),"READY","CHECK")))</f>
        <v/>
      </c>
    </row>
    <row r="691">
      <c r="A691" s="25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37" t="n"/>
      <c r="K691" s="34" t="n"/>
      <c r="L691" s="26" t="n"/>
      <c r="M691" s="37" t="n"/>
      <c r="N691" s="37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34" t="n"/>
      <c r="Y691" s="26" t="n"/>
      <c r="Z691" s="26" t="n"/>
      <c r="AA691" s="26" t="n"/>
      <c r="AB691" s="27" t="n"/>
      <c r="AC691" s="32">
        <f>IF(A691="","",IF(COUNTIF($H$5:$H$1004,H691)&gt;1,"DUPLICATE","UNIQUE"))</f>
        <v/>
      </c>
      <c r="AD691" s="32">
        <f>IF(A691="","",IF(AA691="Rejected",IF(AB691&lt;&gt;"","REJECTED","ADD REASON"),IF(AND(B691&lt;&gt;"",C691&lt;&gt;"",D691&lt;&gt;"",E691&lt;&gt;"",F691&lt;&gt;"",G691&lt;&gt;"",H691&lt;&gt;"",J691&lt;&gt;"",K691&lt;&gt;"",L691&lt;&gt;"",M691&lt;&gt;"",N691&lt;&gt;"",O691&lt;&gt;"",P691&lt;&gt;"",Q691&lt;&gt;"",R691&lt;&gt;"",S691&lt;&gt;"",T691&lt;&gt;"",U691&lt;&gt;"",V691&lt;&gt;"",W691&lt;&gt;"",X691&lt;&gt;"",Y691&lt;&gt;"",AC691="UNIQUE"),"READY","CHECK")))</f>
        <v/>
      </c>
    </row>
    <row r="692">
      <c r="A692" s="25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37" t="n"/>
      <c r="K692" s="34" t="n"/>
      <c r="L692" s="26" t="n"/>
      <c r="M692" s="37" t="n"/>
      <c r="N692" s="37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34" t="n"/>
      <c r="Y692" s="26" t="n"/>
      <c r="Z692" s="26" t="n"/>
      <c r="AA692" s="26" t="n"/>
      <c r="AB692" s="27" t="n"/>
      <c r="AC692" s="32">
        <f>IF(A692="","",IF(COUNTIF($H$5:$H$1004,H692)&gt;1,"DUPLICATE","UNIQUE"))</f>
        <v/>
      </c>
      <c r="AD692" s="32">
        <f>IF(A692="","",IF(AA692="Rejected",IF(AB692&lt;&gt;"","REJECTED","ADD REASON"),IF(AND(B692&lt;&gt;"",C692&lt;&gt;"",D692&lt;&gt;"",E692&lt;&gt;"",F692&lt;&gt;"",G692&lt;&gt;"",H692&lt;&gt;"",J692&lt;&gt;"",K692&lt;&gt;"",L692&lt;&gt;"",M692&lt;&gt;"",N692&lt;&gt;"",O692&lt;&gt;"",P692&lt;&gt;"",Q692&lt;&gt;"",R692&lt;&gt;"",S692&lt;&gt;"",T692&lt;&gt;"",U692&lt;&gt;"",V692&lt;&gt;"",W692&lt;&gt;"",X692&lt;&gt;"",Y692&lt;&gt;"",AC692="UNIQUE"),"READY","CHECK")))</f>
        <v/>
      </c>
    </row>
    <row r="693">
      <c r="A693" s="25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37" t="n"/>
      <c r="K693" s="34" t="n"/>
      <c r="L693" s="26" t="n"/>
      <c r="M693" s="37" t="n"/>
      <c r="N693" s="37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34" t="n"/>
      <c r="Y693" s="26" t="n"/>
      <c r="Z693" s="26" t="n"/>
      <c r="AA693" s="26" t="n"/>
      <c r="AB693" s="27" t="n"/>
      <c r="AC693" s="32">
        <f>IF(A693="","",IF(COUNTIF($H$5:$H$1004,H693)&gt;1,"DUPLICATE","UNIQUE"))</f>
        <v/>
      </c>
      <c r="AD693" s="32">
        <f>IF(A693="","",IF(AA693="Rejected",IF(AB693&lt;&gt;"","REJECTED","ADD REASON"),IF(AND(B693&lt;&gt;"",C693&lt;&gt;"",D693&lt;&gt;"",E693&lt;&gt;"",F693&lt;&gt;"",G693&lt;&gt;"",H693&lt;&gt;"",J693&lt;&gt;"",K693&lt;&gt;"",L693&lt;&gt;"",M693&lt;&gt;"",N693&lt;&gt;"",O693&lt;&gt;"",P693&lt;&gt;"",Q693&lt;&gt;"",R693&lt;&gt;"",S693&lt;&gt;"",T693&lt;&gt;"",U693&lt;&gt;"",V693&lt;&gt;"",W693&lt;&gt;"",X693&lt;&gt;"",Y693&lt;&gt;"",AC693="UNIQUE"),"READY","CHECK")))</f>
        <v/>
      </c>
    </row>
    <row r="694">
      <c r="A694" s="25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37" t="n"/>
      <c r="K694" s="34" t="n"/>
      <c r="L694" s="26" t="n"/>
      <c r="M694" s="37" t="n"/>
      <c r="N694" s="37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34" t="n"/>
      <c r="Y694" s="26" t="n"/>
      <c r="Z694" s="26" t="n"/>
      <c r="AA694" s="26" t="n"/>
      <c r="AB694" s="27" t="n"/>
      <c r="AC694" s="32">
        <f>IF(A694="","",IF(COUNTIF($H$5:$H$1004,H694)&gt;1,"DUPLICATE","UNIQUE"))</f>
        <v/>
      </c>
      <c r="AD694" s="32">
        <f>IF(A694="","",IF(AA694="Rejected",IF(AB694&lt;&gt;"","REJECTED","ADD REASON"),IF(AND(B694&lt;&gt;"",C694&lt;&gt;"",D694&lt;&gt;"",E694&lt;&gt;"",F694&lt;&gt;"",G694&lt;&gt;"",H694&lt;&gt;"",J694&lt;&gt;"",K694&lt;&gt;"",L694&lt;&gt;"",M694&lt;&gt;"",N694&lt;&gt;"",O694&lt;&gt;"",P694&lt;&gt;"",Q694&lt;&gt;"",R694&lt;&gt;"",S694&lt;&gt;"",T694&lt;&gt;"",U694&lt;&gt;"",V694&lt;&gt;"",W694&lt;&gt;"",X694&lt;&gt;"",Y694&lt;&gt;"",AC694="UNIQUE"),"READY","CHECK")))</f>
        <v/>
      </c>
    </row>
    <row r="695">
      <c r="A695" s="25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37" t="n"/>
      <c r="K695" s="34" t="n"/>
      <c r="L695" s="26" t="n"/>
      <c r="M695" s="37" t="n"/>
      <c r="N695" s="37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34" t="n"/>
      <c r="Y695" s="26" t="n"/>
      <c r="Z695" s="26" t="n"/>
      <c r="AA695" s="26" t="n"/>
      <c r="AB695" s="27" t="n"/>
      <c r="AC695" s="32">
        <f>IF(A695="","",IF(COUNTIF($H$5:$H$1004,H695)&gt;1,"DUPLICATE","UNIQUE"))</f>
        <v/>
      </c>
      <c r="AD695" s="32">
        <f>IF(A695="","",IF(AA695="Rejected",IF(AB695&lt;&gt;"","REJECTED","ADD REASON"),IF(AND(B695&lt;&gt;"",C695&lt;&gt;"",D695&lt;&gt;"",E695&lt;&gt;"",F695&lt;&gt;"",G695&lt;&gt;"",H695&lt;&gt;"",J695&lt;&gt;"",K695&lt;&gt;"",L695&lt;&gt;"",M695&lt;&gt;"",N695&lt;&gt;"",O695&lt;&gt;"",P695&lt;&gt;"",Q695&lt;&gt;"",R695&lt;&gt;"",S695&lt;&gt;"",T695&lt;&gt;"",U695&lt;&gt;"",V695&lt;&gt;"",W695&lt;&gt;"",X695&lt;&gt;"",Y695&lt;&gt;"",AC695="UNIQUE"),"READY","CHECK")))</f>
        <v/>
      </c>
    </row>
    <row r="696">
      <c r="A696" s="25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37" t="n"/>
      <c r="K696" s="34" t="n"/>
      <c r="L696" s="26" t="n"/>
      <c r="M696" s="37" t="n"/>
      <c r="N696" s="37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34" t="n"/>
      <c r="Y696" s="26" t="n"/>
      <c r="Z696" s="26" t="n"/>
      <c r="AA696" s="26" t="n"/>
      <c r="AB696" s="27" t="n"/>
      <c r="AC696" s="32">
        <f>IF(A696="","",IF(COUNTIF($H$5:$H$1004,H696)&gt;1,"DUPLICATE","UNIQUE"))</f>
        <v/>
      </c>
      <c r="AD696" s="32">
        <f>IF(A696="","",IF(AA696="Rejected",IF(AB696&lt;&gt;"","REJECTED","ADD REASON"),IF(AND(B696&lt;&gt;"",C696&lt;&gt;"",D696&lt;&gt;"",E696&lt;&gt;"",F696&lt;&gt;"",G696&lt;&gt;"",H696&lt;&gt;"",J696&lt;&gt;"",K696&lt;&gt;"",L696&lt;&gt;"",M696&lt;&gt;"",N696&lt;&gt;"",O696&lt;&gt;"",P696&lt;&gt;"",Q696&lt;&gt;"",R696&lt;&gt;"",S696&lt;&gt;"",T696&lt;&gt;"",U696&lt;&gt;"",V696&lt;&gt;"",W696&lt;&gt;"",X696&lt;&gt;"",Y696&lt;&gt;"",AC696="UNIQUE"),"READY","CHECK")))</f>
        <v/>
      </c>
    </row>
    <row r="697">
      <c r="A697" s="25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37" t="n"/>
      <c r="K697" s="34" t="n"/>
      <c r="L697" s="26" t="n"/>
      <c r="M697" s="37" t="n"/>
      <c r="N697" s="37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34" t="n"/>
      <c r="Y697" s="26" t="n"/>
      <c r="Z697" s="26" t="n"/>
      <c r="AA697" s="26" t="n"/>
      <c r="AB697" s="27" t="n"/>
      <c r="AC697" s="32">
        <f>IF(A697="","",IF(COUNTIF($H$5:$H$1004,H697)&gt;1,"DUPLICATE","UNIQUE"))</f>
        <v/>
      </c>
      <c r="AD697" s="32">
        <f>IF(A697="","",IF(AA697="Rejected",IF(AB697&lt;&gt;"","REJECTED","ADD REASON"),IF(AND(B697&lt;&gt;"",C697&lt;&gt;"",D697&lt;&gt;"",E697&lt;&gt;"",F697&lt;&gt;"",G697&lt;&gt;"",H697&lt;&gt;"",J697&lt;&gt;"",K697&lt;&gt;"",L697&lt;&gt;"",M697&lt;&gt;"",N697&lt;&gt;"",O697&lt;&gt;"",P697&lt;&gt;"",Q697&lt;&gt;"",R697&lt;&gt;"",S697&lt;&gt;"",T697&lt;&gt;"",U697&lt;&gt;"",V697&lt;&gt;"",W697&lt;&gt;"",X697&lt;&gt;"",Y697&lt;&gt;"",AC697="UNIQUE"),"READY","CHECK")))</f>
        <v/>
      </c>
    </row>
    <row r="698">
      <c r="A698" s="25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37" t="n"/>
      <c r="K698" s="34" t="n"/>
      <c r="L698" s="26" t="n"/>
      <c r="M698" s="37" t="n"/>
      <c r="N698" s="37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34" t="n"/>
      <c r="Y698" s="26" t="n"/>
      <c r="Z698" s="26" t="n"/>
      <c r="AA698" s="26" t="n"/>
      <c r="AB698" s="27" t="n"/>
      <c r="AC698" s="32">
        <f>IF(A698="","",IF(COUNTIF($H$5:$H$1004,H698)&gt;1,"DUPLICATE","UNIQUE"))</f>
        <v/>
      </c>
      <c r="AD698" s="32">
        <f>IF(A698="","",IF(AA698="Rejected",IF(AB698&lt;&gt;"","REJECTED","ADD REASON"),IF(AND(B698&lt;&gt;"",C698&lt;&gt;"",D698&lt;&gt;"",E698&lt;&gt;"",F698&lt;&gt;"",G698&lt;&gt;"",H698&lt;&gt;"",J698&lt;&gt;"",K698&lt;&gt;"",L698&lt;&gt;"",M698&lt;&gt;"",N698&lt;&gt;"",O698&lt;&gt;"",P698&lt;&gt;"",Q698&lt;&gt;"",R698&lt;&gt;"",S698&lt;&gt;"",T698&lt;&gt;"",U698&lt;&gt;"",V698&lt;&gt;"",W698&lt;&gt;"",X698&lt;&gt;"",Y698&lt;&gt;"",AC698="UNIQUE"),"READY","CHECK")))</f>
        <v/>
      </c>
    </row>
    <row r="699">
      <c r="A699" s="25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37" t="n"/>
      <c r="K699" s="34" t="n"/>
      <c r="L699" s="26" t="n"/>
      <c r="M699" s="37" t="n"/>
      <c r="N699" s="37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34" t="n"/>
      <c r="Y699" s="26" t="n"/>
      <c r="Z699" s="26" t="n"/>
      <c r="AA699" s="26" t="n"/>
      <c r="AB699" s="27" t="n"/>
      <c r="AC699" s="32">
        <f>IF(A699="","",IF(COUNTIF($H$5:$H$1004,H699)&gt;1,"DUPLICATE","UNIQUE"))</f>
        <v/>
      </c>
      <c r="AD699" s="32">
        <f>IF(A699="","",IF(AA699="Rejected",IF(AB699&lt;&gt;"","REJECTED","ADD REASON"),IF(AND(B699&lt;&gt;"",C699&lt;&gt;"",D699&lt;&gt;"",E699&lt;&gt;"",F699&lt;&gt;"",G699&lt;&gt;"",H699&lt;&gt;"",J699&lt;&gt;"",K699&lt;&gt;"",L699&lt;&gt;"",M699&lt;&gt;"",N699&lt;&gt;"",O699&lt;&gt;"",P699&lt;&gt;"",Q699&lt;&gt;"",R699&lt;&gt;"",S699&lt;&gt;"",T699&lt;&gt;"",U699&lt;&gt;"",V699&lt;&gt;"",W699&lt;&gt;"",X699&lt;&gt;"",Y699&lt;&gt;"",AC699="UNIQUE"),"READY","CHECK")))</f>
        <v/>
      </c>
    </row>
    <row r="700">
      <c r="A700" s="25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37" t="n"/>
      <c r="K700" s="34" t="n"/>
      <c r="L700" s="26" t="n"/>
      <c r="M700" s="37" t="n"/>
      <c r="N700" s="37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34" t="n"/>
      <c r="Y700" s="26" t="n"/>
      <c r="Z700" s="26" t="n"/>
      <c r="AA700" s="26" t="n"/>
      <c r="AB700" s="27" t="n"/>
      <c r="AC700" s="32">
        <f>IF(A700="","",IF(COUNTIF($H$5:$H$1004,H700)&gt;1,"DUPLICATE","UNIQUE"))</f>
        <v/>
      </c>
      <c r="AD700" s="32">
        <f>IF(A700="","",IF(AA700="Rejected",IF(AB700&lt;&gt;"","REJECTED","ADD REASON"),IF(AND(B700&lt;&gt;"",C700&lt;&gt;"",D700&lt;&gt;"",E700&lt;&gt;"",F700&lt;&gt;"",G700&lt;&gt;"",H700&lt;&gt;"",J700&lt;&gt;"",K700&lt;&gt;"",L700&lt;&gt;"",M700&lt;&gt;"",N700&lt;&gt;"",O700&lt;&gt;"",P700&lt;&gt;"",Q700&lt;&gt;"",R700&lt;&gt;"",S700&lt;&gt;"",T700&lt;&gt;"",U700&lt;&gt;"",V700&lt;&gt;"",W700&lt;&gt;"",X700&lt;&gt;"",Y700&lt;&gt;"",AC700="UNIQUE"),"READY","CHECK")))</f>
        <v/>
      </c>
    </row>
    <row r="701">
      <c r="A701" s="25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37" t="n"/>
      <c r="K701" s="34" t="n"/>
      <c r="L701" s="26" t="n"/>
      <c r="M701" s="37" t="n"/>
      <c r="N701" s="37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34" t="n"/>
      <c r="Y701" s="26" t="n"/>
      <c r="Z701" s="26" t="n"/>
      <c r="AA701" s="26" t="n"/>
      <c r="AB701" s="27" t="n"/>
      <c r="AC701" s="32">
        <f>IF(A701="","",IF(COUNTIF($H$5:$H$1004,H701)&gt;1,"DUPLICATE","UNIQUE"))</f>
        <v/>
      </c>
      <c r="AD701" s="32">
        <f>IF(A701="","",IF(AA701="Rejected",IF(AB701&lt;&gt;"","REJECTED","ADD REASON"),IF(AND(B701&lt;&gt;"",C701&lt;&gt;"",D701&lt;&gt;"",E701&lt;&gt;"",F701&lt;&gt;"",G701&lt;&gt;"",H701&lt;&gt;"",J701&lt;&gt;"",K701&lt;&gt;"",L701&lt;&gt;"",M701&lt;&gt;"",N701&lt;&gt;"",O701&lt;&gt;"",P701&lt;&gt;"",Q701&lt;&gt;"",R701&lt;&gt;"",S701&lt;&gt;"",T701&lt;&gt;"",U701&lt;&gt;"",V701&lt;&gt;"",W701&lt;&gt;"",X701&lt;&gt;"",Y701&lt;&gt;"",AC701="UNIQUE"),"READY","CHECK")))</f>
        <v/>
      </c>
    </row>
    <row r="702">
      <c r="A702" s="25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37" t="n"/>
      <c r="K702" s="34" t="n"/>
      <c r="L702" s="26" t="n"/>
      <c r="M702" s="37" t="n"/>
      <c r="N702" s="37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34" t="n"/>
      <c r="Y702" s="26" t="n"/>
      <c r="Z702" s="26" t="n"/>
      <c r="AA702" s="26" t="n"/>
      <c r="AB702" s="27" t="n"/>
      <c r="AC702" s="32">
        <f>IF(A702="","",IF(COUNTIF($H$5:$H$1004,H702)&gt;1,"DUPLICATE","UNIQUE"))</f>
        <v/>
      </c>
      <c r="AD702" s="32">
        <f>IF(A702="","",IF(AA702="Rejected",IF(AB702&lt;&gt;"","REJECTED","ADD REASON"),IF(AND(B702&lt;&gt;"",C702&lt;&gt;"",D702&lt;&gt;"",E702&lt;&gt;"",F702&lt;&gt;"",G702&lt;&gt;"",H702&lt;&gt;"",J702&lt;&gt;"",K702&lt;&gt;"",L702&lt;&gt;"",M702&lt;&gt;"",N702&lt;&gt;"",O702&lt;&gt;"",P702&lt;&gt;"",Q702&lt;&gt;"",R702&lt;&gt;"",S702&lt;&gt;"",T702&lt;&gt;"",U702&lt;&gt;"",V702&lt;&gt;"",W702&lt;&gt;"",X702&lt;&gt;"",Y702&lt;&gt;"",AC702="UNIQUE"),"READY","CHECK")))</f>
        <v/>
      </c>
    </row>
    <row r="703">
      <c r="A703" s="25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37" t="n"/>
      <c r="K703" s="34" t="n"/>
      <c r="L703" s="26" t="n"/>
      <c r="M703" s="37" t="n"/>
      <c r="N703" s="37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34" t="n"/>
      <c r="Y703" s="26" t="n"/>
      <c r="Z703" s="26" t="n"/>
      <c r="AA703" s="26" t="n"/>
      <c r="AB703" s="27" t="n"/>
      <c r="AC703" s="32">
        <f>IF(A703="","",IF(COUNTIF($H$5:$H$1004,H703)&gt;1,"DUPLICATE","UNIQUE"))</f>
        <v/>
      </c>
      <c r="AD703" s="32">
        <f>IF(A703="","",IF(AA703="Rejected",IF(AB703&lt;&gt;"","REJECTED","ADD REASON"),IF(AND(B703&lt;&gt;"",C703&lt;&gt;"",D703&lt;&gt;"",E703&lt;&gt;"",F703&lt;&gt;"",G703&lt;&gt;"",H703&lt;&gt;"",J703&lt;&gt;"",K703&lt;&gt;"",L703&lt;&gt;"",M703&lt;&gt;"",N703&lt;&gt;"",O703&lt;&gt;"",P703&lt;&gt;"",Q703&lt;&gt;"",R703&lt;&gt;"",S703&lt;&gt;"",T703&lt;&gt;"",U703&lt;&gt;"",V703&lt;&gt;"",W703&lt;&gt;"",X703&lt;&gt;"",Y703&lt;&gt;"",AC703="UNIQUE"),"READY","CHECK")))</f>
        <v/>
      </c>
    </row>
    <row r="704">
      <c r="A704" s="25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37" t="n"/>
      <c r="K704" s="34" t="n"/>
      <c r="L704" s="26" t="n"/>
      <c r="M704" s="37" t="n"/>
      <c r="N704" s="37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34" t="n"/>
      <c r="Y704" s="26" t="n"/>
      <c r="Z704" s="26" t="n"/>
      <c r="AA704" s="26" t="n"/>
      <c r="AB704" s="27" t="n"/>
      <c r="AC704" s="32">
        <f>IF(A704="","",IF(COUNTIF($H$5:$H$1004,H704)&gt;1,"DUPLICATE","UNIQUE"))</f>
        <v/>
      </c>
      <c r="AD704" s="32">
        <f>IF(A704="","",IF(AA704="Rejected",IF(AB704&lt;&gt;"","REJECTED","ADD REASON"),IF(AND(B704&lt;&gt;"",C704&lt;&gt;"",D704&lt;&gt;"",E704&lt;&gt;"",F704&lt;&gt;"",G704&lt;&gt;"",H704&lt;&gt;"",J704&lt;&gt;"",K704&lt;&gt;"",L704&lt;&gt;"",M704&lt;&gt;"",N704&lt;&gt;"",O704&lt;&gt;"",P704&lt;&gt;"",Q704&lt;&gt;"",R704&lt;&gt;"",S704&lt;&gt;"",T704&lt;&gt;"",U704&lt;&gt;"",V704&lt;&gt;"",W704&lt;&gt;"",X704&lt;&gt;"",Y704&lt;&gt;"",AC704="UNIQUE"),"READY","CHECK")))</f>
        <v/>
      </c>
    </row>
    <row r="705">
      <c r="A705" s="25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37" t="n"/>
      <c r="K705" s="34" t="n"/>
      <c r="L705" s="26" t="n"/>
      <c r="M705" s="37" t="n"/>
      <c r="N705" s="37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34" t="n"/>
      <c r="Y705" s="26" t="n"/>
      <c r="Z705" s="26" t="n"/>
      <c r="AA705" s="26" t="n"/>
      <c r="AB705" s="27" t="n"/>
      <c r="AC705" s="32">
        <f>IF(A705="","",IF(COUNTIF($H$5:$H$1004,H705)&gt;1,"DUPLICATE","UNIQUE"))</f>
        <v/>
      </c>
      <c r="AD705" s="32">
        <f>IF(A705="","",IF(AA705="Rejected",IF(AB705&lt;&gt;"","REJECTED","ADD REASON"),IF(AND(B705&lt;&gt;"",C705&lt;&gt;"",D705&lt;&gt;"",E705&lt;&gt;"",F705&lt;&gt;"",G705&lt;&gt;"",H705&lt;&gt;"",J705&lt;&gt;"",K705&lt;&gt;"",L705&lt;&gt;"",M705&lt;&gt;"",N705&lt;&gt;"",O705&lt;&gt;"",P705&lt;&gt;"",Q705&lt;&gt;"",R705&lt;&gt;"",S705&lt;&gt;"",T705&lt;&gt;"",U705&lt;&gt;"",V705&lt;&gt;"",W705&lt;&gt;"",X705&lt;&gt;"",Y705&lt;&gt;"",AC705="UNIQUE"),"READY","CHECK")))</f>
        <v/>
      </c>
    </row>
    <row r="706">
      <c r="A706" s="25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37" t="n"/>
      <c r="K706" s="34" t="n"/>
      <c r="L706" s="26" t="n"/>
      <c r="M706" s="37" t="n"/>
      <c r="N706" s="37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34" t="n"/>
      <c r="Y706" s="26" t="n"/>
      <c r="Z706" s="26" t="n"/>
      <c r="AA706" s="26" t="n"/>
      <c r="AB706" s="27" t="n"/>
      <c r="AC706" s="32">
        <f>IF(A706="","",IF(COUNTIF($H$5:$H$1004,H706)&gt;1,"DUPLICATE","UNIQUE"))</f>
        <v/>
      </c>
      <c r="AD706" s="32">
        <f>IF(A706="","",IF(AA706="Rejected",IF(AB706&lt;&gt;"","REJECTED","ADD REASON"),IF(AND(B706&lt;&gt;"",C706&lt;&gt;"",D706&lt;&gt;"",E706&lt;&gt;"",F706&lt;&gt;"",G706&lt;&gt;"",H706&lt;&gt;"",J706&lt;&gt;"",K706&lt;&gt;"",L706&lt;&gt;"",M706&lt;&gt;"",N706&lt;&gt;"",O706&lt;&gt;"",P706&lt;&gt;"",Q706&lt;&gt;"",R706&lt;&gt;"",S706&lt;&gt;"",T706&lt;&gt;"",U706&lt;&gt;"",V706&lt;&gt;"",W706&lt;&gt;"",X706&lt;&gt;"",Y706&lt;&gt;"",AC706="UNIQUE"),"READY","CHECK")))</f>
        <v/>
      </c>
    </row>
    <row r="707">
      <c r="A707" s="25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37" t="n"/>
      <c r="K707" s="34" t="n"/>
      <c r="L707" s="26" t="n"/>
      <c r="M707" s="37" t="n"/>
      <c r="N707" s="37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34" t="n"/>
      <c r="Y707" s="26" t="n"/>
      <c r="Z707" s="26" t="n"/>
      <c r="AA707" s="26" t="n"/>
      <c r="AB707" s="27" t="n"/>
      <c r="AC707" s="32">
        <f>IF(A707="","",IF(COUNTIF($H$5:$H$1004,H707)&gt;1,"DUPLICATE","UNIQUE"))</f>
        <v/>
      </c>
      <c r="AD707" s="32">
        <f>IF(A707="","",IF(AA707="Rejected",IF(AB707&lt;&gt;"","REJECTED","ADD REASON"),IF(AND(B707&lt;&gt;"",C707&lt;&gt;"",D707&lt;&gt;"",E707&lt;&gt;"",F707&lt;&gt;"",G707&lt;&gt;"",H707&lt;&gt;"",J707&lt;&gt;"",K707&lt;&gt;"",L707&lt;&gt;"",M707&lt;&gt;"",N707&lt;&gt;"",O707&lt;&gt;"",P707&lt;&gt;"",Q707&lt;&gt;"",R707&lt;&gt;"",S707&lt;&gt;"",T707&lt;&gt;"",U707&lt;&gt;"",V707&lt;&gt;"",W707&lt;&gt;"",X707&lt;&gt;"",Y707&lt;&gt;"",AC707="UNIQUE"),"READY","CHECK")))</f>
        <v/>
      </c>
    </row>
    <row r="708">
      <c r="A708" s="25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37" t="n"/>
      <c r="K708" s="34" t="n"/>
      <c r="L708" s="26" t="n"/>
      <c r="M708" s="37" t="n"/>
      <c r="N708" s="37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34" t="n"/>
      <c r="Y708" s="26" t="n"/>
      <c r="Z708" s="26" t="n"/>
      <c r="AA708" s="26" t="n"/>
      <c r="AB708" s="27" t="n"/>
      <c r="AC708" s="32">
        <f>IF(A708="","",IF(COUNTIF($H$5:$H$1004,H708)&gt;1,"DUPLICATE","UNIQUE"))</f>
        <v/>
      </c>
      <c r="AD708" s="32">
        <f>IF(A708="","",IF(AA708="Rejected",IF(AB708&lt;&gt;"","REJECTED","ADD REASON"),IF(AND(B708&lt;&gt;"",C708&lt;&gt;"",D708&lt;&gt;"",E708&lt;&gt;"",F708&lt;&gt;"",G708&lt;&gt;"",H708&lt;&gt;"",J708&lt;&gt;"",K708&lt;&gt;"",L708&lt;&gt;"",M708&lt;&gt;"",N708&lt;&gt;"",O708&lt;&gt;"",P708&lt;&gt;"",Q708&lt;&gt;"",R708&lt;&gt;"",S708&lt;&gt;"",T708&lt;&gt;"",U708&lt;&gt;"",V708&lt;&gt;"",W708&lt;&gt;"",X708&lt;&gt;"",Y708&lt;&gt;"",AC708="UNIQUE"),"READY","CHECK")))</f>
        <v/>
      </c>
    </row>
    <row r="709">
      <c r="A709" s="25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37" t="n"/>
      <c r="K709" s="34" t="n"/>
      <c r="L709" s="26" t="n"/>
      <c r="M709" s="37" t="n"/>
      <c r="N709" s="37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34" t="n"/>
      <c r="Y709" s="26" t="n"/>
      <c r="Z709" s="26" t="n"/>
      <c r="AA709" s="26" t="n"/>
      <c r="AB709" s="27" t="n"/>
      <c r="AC709" s="32">
        <f>IF(A709="","",IF(COUNTIF($H$5:$H$1004,H709)&gt;1,"DUPLICATE","UNIQUE"))</f>
        <v/>
      </c>
      <c r="AD709" s="32">
        <f>IF(A709="","",IF(AA709="Rejected",IF(AB709&lt;&gt;"","REJECTED","ADD REASON"),IF(AND(B709&lt;&gt;"",C709&lt;&gt;"",D709&lt;&gt;"",E709&lt;&gt;"",F709&lt;&gt;"",G709&lt;&gt;"",H709&lt;&gt;"",J709&lt;&gt;"",K709&lt;&gt;"",L709&lt;&gt;"",M709&lt;&gt;"",N709&lt;&gt;"",O709&lt;&gt;"",P709&lt;&gt;"",Q709&lt;&gt;"",R709&lt;&gt;"",S709&lt;&gt;"",T709&lt;&gt;"",U709&lt;&gt;"",V709&lt;&gt;"",W709&lt;&gt;"",X709&lt;&gt;"",Y709&lt;&gt;"",AC709="UNIQUE"),"READY","CHECK")))</f>
        <v/>
      </c>
    </row>
    <row r="710">
      <c r="A710" s="25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37" t="n"/>
      <c r="K710" s="34" t="n"/>
      <c r="L710" s="26" t="n"/>
      <c r="M710" s="37" t="n"/>
      <c r="N710" s="37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34" t="n"/>
      <c r="Y710" s="26" t="n"/>
      <c r="Z710" s="26" t="n"/>
      <c r="AA710" s="26" t="n"/>
      <c r="AB710" s="27" t="n"/>
      <c r="AC710" s="32">
        <f>IF(A710="","",IF(COUNTIF($H$5:$H$1004,H710)&gt;1,"DUPLICATE","UNIQUE"))</f>
        <v/>
      </c>
      <c r="AD710" s="32">
        <f>IF(A710="","",IF(AA710="Rejected",IF(AB710&lt;&gt;"","REJECTED","ADD REASON"),IF(AND(B710&lt;&gt;"",C710&lt;&gt;"",D710&lt;&gt;"",E710&lt;&gt;"",F710&lt;&gt;"",G710&lt;&gt;"",H710&lt;&gt;"",J710&lt;&gt;"",K710&lt;&gt;"",L710&lt;&gt;"",M710&lt;&gt;"",N710&lt;&gt;"",O710&lt;&gt;"",P710&lt;&gt;"",Q710&lt;&gt;"",R710&lt;&gt;"",S710&lt;&gt;"",T710&lt;&gt;"",U710&lt;&gt;"",V710&lt;&gt;"",W710&lt;&gt;"",X710&lt;&gt;"",Y710&lt;&gt;"",AC710="UNIQUE"),"READY","CHECK")))</f>
        <v/>
      </c>
    </row>
    <row r="711">
      <c r="A711" s="25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37" t="n"/>
      <c r="K711" s="34" t="n"/>
      <c r="L711" s="26" t="n"/>
      <c r="M711" s="37" t="n"/>
      <c r="N711" s="37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34" t="n"/>
      <c r="Y711" s="26" t="n"/>
      <c r="Z711" s="26" t="n"/>
      <c r="AA711" s="26" t="n"/>
      <c r="AB711" s="27" t="n"/>
      <c r="AC711" s="32">
        <f>IF(A711="","",IF(COUNTIF($H$5:$H$1004,H711)&gt;1,"DUPLICATE","UNIQUE"))</f>
        <v/>
      </c>
      <c r="AD711" s="32">
        <f>IF(A711="","",IF(AA711="Rejected",IF(AB711&lt;&gt;"","REJECTED","ADD REASON"),IF(AND(B711&lt;&gt;"",C711&lt;&gt;"",D711&lt;&gt;"",E711&lt;&gt;"",F711&lt;&gt;"",G711&lt;&gt;"",H711&lt;&gt;"",J711&lt;&gt;"",K711&lt;&gt;"",L711&lt;&gt;"",M711&lt;&gt;"",N711&lt;&gt;"",O711&lt;&gt;"",P711&lt;&gt;"",Q711&lt;&gt;"",R711&lt;&gt;"",S711&lt;&gt;"",T711&lt;&gt;"",U711&lt;&gt;"",V711&lt;&gt;"",W711&lt;&gt;"",X711&lt;&gt;"",Y711&lt;&gt;"",AC711="UNIQUE"),"READY","CHECK")))</f>
        <v/>
      </c>
    </row>
    <row r="712">
      <c r="A712" s="25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37" t="n"/>
      <c r="K712" s="34" t="n"/>
      <c r="L712" s="26" t="n"/>
      <c r="M712" s="37" t="n"/>
      <c r="N712" s="37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34" t="n"/>
      <c r="Y712" s="26" t="n"/>
      <c r="Z712" s="26" t="n"/>
      <c r="AA712" s="26" t="n"/>
      <c r="AB712" s="27" t="n"/>
      <c r="AC712" s="32">
        <f>IF(A712="","",IF(COUNTIF($H$5:$H$1004,H712)&gt;1,"DUPLICATE","UNIQUE"))</f>
        <v/>
      </c>
      <c r="AD712" s="32">
        <f>IF(A712="","",IF(AA712="Rejected",IF(AB712&lt;&gt;"","REJECTED","ADD REASON"),IF(AND(B712&lt;&gt;"",C712&lt;&gt;"",D712&lt;&gt;"",E712&lt;&gt;"",F712&lt;&gt;"",G712&lt;&gt;"",H712&lt;&gt;"",J712&lt;&gt;"",K712&lt;&gt;"",L712&lt;&gt;"",M712&lt;&gt;"",N712&lt;&gt;"",O712&lt;&gt;"",P712&lt;&gt;"",Q712&lt;&gt;"",R712&lt;&gt;"",S712&lt;&gt;"",T712&lt;&gt;"",U712&lt;&gt;"",V712&lt;&gt;"",W712&lt;&gt;"",X712&lt;&gt;"",Y712&lt;&gt;"",AC712="UNIQUE"),"READY","CHECK")))</f>
        <v/>
      </c>
    </row>
    <row r="713">
      <c r="A713" s="25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37" t="n"/>
      <c r="K713" s="34" t="n"/>
      <c r="L713" s="26" t="n"/>
      <c r="M713" s="37" t="n"/>
      <c r="N713" s="37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34" t="n"/>
      <c r="Y713" s="26" t="n"/>
      <c r="Z713" s="26" t="n"/>
      <c r="AA713" s="26" t="n"/>
      <c r="AB713" s="27" t="n"/>
      <c r="AC713" s="32">
        <f>IF(A713="","",IF(COUNTIF($H$5:$H$1004,H713)&gt;1,"DUPLICATE","UNIQUE"))</f>
        <v/>
      </c>
      <c r="AD713" s="32">
        <f>IF(A713="","",IF(AA713="Rejected",IF(AB713&lt;&gt;"","REJECTED","ADD REASON"),IF(AND(B713&lt;&gt;"",C713&lt;&gt;"",D713&lt;&gt;"",E713&lt;&gt;"",F713&lt;&gt;"",G713&lt;&gt;"",H713&lt;&gt;"",J713&lt;&gt;"",K713&lt;&gt;"",L713&lt;&gt;"",M713&lt;&gt;"",N713&lt;&gt;"",O713&lt;&gt;"",P713&lt;&gt;"",Q713&lt;&gt;"",R713&lt;&gt;"",S713&lt;&gt;"",T713&lt;&gt;"",U713&lt;&gt;"",V713&lt;&gt;"",W713&lt;&gt;"",X713&lt;&gt;"",Y713&lt;&gt;"",AC713="UNIQUE"),"READY","CHECK")))</f>
        <v/>
      </c>
    </row>
    <row r="714">
      <c r="A714" s="25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37" t="n"/>
      <c r="K714" s="34" t="n"/>
      <c r="L714" s="26" t="n"/>
      <c r="M714" s="37" t="n"/>
      <c r="N714" s="37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34" t="n"/>
      <c r="Y714" s="26" t="n"/>
      <c r="Z714" s="26" t="n"/>
      <c r="AA714" s="26" t="n"/>
      <c r="AB714" s="27" t="n"/>
      <c r="AC714" s="32">
        <f>IF(A714="","",IF(COUNTIF($H$5:$H$1004,H714)&gt;1,"DUPLICATE","UNIQUE"))</f>
        <v/>
      </c>
      <c r="AD714" s="32">
        <f>IF(A714="","",IF(AA714="Rejected",IF(AB714&lt;&gt;"","REJECTED","ADD REASON"),IF(AND(B714&lt;&gt;"",C714&lt;&gt;"",D714&lt;&gt;"",E714&lt;&gt;"",F714&lt;&gt;"",G714&lt;&gt;"",H714&lt;&gt;"",J714&lt;&gt;"",K714&lt;&gt;"",L714&lt;&gt;"",M714&lt;&gt;"",N714&lt;&gt;"",O714&lt;&gt;"",P714&lt;&gt;"",Q714&lt;&gt;"",R714&lt;&gt;"",S714&lt;&gt;"",T714&lt;&gt;"",U714&lt;&gt;"",V714&lt;&gt;"",W714&lt;&gt;"",X714&lt;&gt;"",Y714&lt;&gt;"",AC714="UNIQUE"),"READY","CHECK")))</f>
        <v/>
      </c>
    </row>
    <row r="715">
      <c r="A715" s="25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37" t="n"/>
      <c r="K715" s="34" t="n"/>
      <c r="L715" s="26" t="n"/>
      <c r="M715" s="37" t="n"/>
      <c r="N715" s="37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34" t="n"/>
      <c r="Y715" s="26" t="n"/>
      <c r="Z715" s="26" t="n"/>
      <c r="AA715" s="26" t="n"/>
      <c r="AB715" s="27" t="n"/>
      <c r="AC715" s="32">
        <f>IF(A715="","",IF(COUNTIF($H$5:$H$1004,H715)&gt;1,"DUPLICATE","UNIQUE"))</f>
        <v/>
      </c>
      <c r="AD715" s="32">
        <f>IF(A715="","",IF(AA715="Rejected",IF(AB715&lt;&gt;"","REJECTED","ADD REASON"),IF(AND(B715&lt;&gt;"",C715&lt;&gt;"",D715&lt;&gt;"",E715&lt;&gt;"",F715&lt;&gt;"",G715&lt;&gt;"",H715&lt;&gt;"",J715&lt;&gt;"",K715&lt;&gt;"",L715&lt;&gt;"",M715&lt;&gt;"",N715&lt;&gt;"",O715&lt;&gt;"",P715&lt;&gt;"",Q715&lt;&gt;"",R715&lt;&gt;"",S715&lt;&gt;"",T715&lt;&gt;"",U715&lt;&gt;"",V715&lt;&gt;"",W715&lt;&gt;"",X715&lt;&gt;"",Y715&lt;&gt;"",AC715="UNIQUE"),"READY","CHECK")))</f>
        <v/>
      </c>
    </row>
    <row r="716">
      <c r="A716" s="25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37" t="n"/>
      <c r="K716" s="34" t="n"/>
      <c r="L716" s="26" t="n"/>
      <c r="M716" s="37" t="n"/>
      <c r="N716" s="37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34" t="n"/>
      <c r="Y716" s="26" t="n"/>
      <c r="Z716" s="26" t="n"/>
      <c r="AA716" s="26" t="n"/>
      <c r="AB716" s="27" t="n"/>
      <c r="AC716" s="32">
        <f>IF(A716="","",IF(COUNTIF($H$5:$H$1004,H716)&gt;1,"DUPLICATE","UNIQUE"))</f>
        <v/>
      </c>
      <c r="AD716" s="32">
        <f>IF(A716="","",IF(AA716="Rejected",IF(AB716&lt;&gt;"","REJECTED","ADD REASON"),IF(AND(B716&lt;&gt;"",C716&lt;&gt;"",D716&lt;&gt;"",E716&lt;&gt;"",F716&lt;&gt;"",G716&lt;&gt;"",H716&lt;&gt;"",J716&lt;&gt;"",K716&lt;&gt;"",L716&lt;&gt;"",M716&lt;&gt;"",N716&lt;&gt;"",O716&lt;&gt;"",P716&lt;&gt;"",Q716&lt;&gt;"",R716&lt;&gt;"",S716&lt;&gt;"",T716&lt;&gt;"",U716&lt;&gt;"",V716&lt;&gt;"",W716&lt;&gt;"",X716&lt;&gt;"",Y716&lt;&gt;"",AC716="UNIQUE"),"READY","CHECK")))</f>
        <v/>
      </c>
    </row>
    <row r="717">
      <c r="A717" s="25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37" t="n"/>
      <c r="K717" s="34" t="n"/>
      <c r="L717" s="26" t="n"/>
      <c r="M717" s="37" t="n"/>
      <c r="N717" s="37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34" t="n"/>
      <c r="Y717" s="26" t="n"/>
      <c r="Z717" s="26" t="n"/>
      <c r="AA717" s="26" t="n"/>
      <c r="AB717" s="27" t="n"/>
      <c r="AC717" s="32">
        <f>IF(A717="","",IF(COUNTIF($H$5:$H$1004,H717)&gt;1,"DUPLICATE","UNIQUE"))</f>
        <v/>
      </c>
      <c r="AD717" s="32">
        <f>IF(A717="","",IF(AA717="Rejected",IF(AB717&lt;&gt;"","REJECTED","ADD REASON"),IF(AND(B717&lt;&gt;"",C717&lt;&gt;"",D717&lt;&gt;"",E717&lt;&gt;"",F717&lt;&gt;"",G717&lt;&gt;"",H717&lt;&gt;"",J717&lt;&gt;"",K717&lt;&gt;"",L717&lt;&gt;"",M717&lt;&gt;"",N717&lt;&gt;"",O717&lt;&gt;"",P717&lt;&gt;"",Q717&lt;&gt;"",R717&lt;&gt;"",S717&lt;&gt;"",T717&lt;&gt;"",U717&lt;&gt;"",V717&lt;&gt;"",W717&lt;&gt;"",X717&lt;&gt;"",Y717&lt;&gt;"",AC717="UNIQUE"),"READY","CHECK")))</f>
        <v/>
      </c>
    </row>
    <row r="718">
      <c r="A718" s="25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37" t="n"/>
      <c r="K718" s="34" t="n"/>
      <c r="L718" s="26" t="n"/>
      <c r="M718" s="37" t="n"/>
      <c r="N718" s="37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34" t="n"/>
      <c r="Y718" s="26" t="n"/>
      <c r="Z718" s="26" t="n"/>
      <c r="AA718" s="26" t="n"/>
      <c r="AB718" s="27" t="n"/>
      <c r="AC718" s="32">
        <f>IF(A718="","",IF(COUNTIF($H$5:$H$1004,H718)&gt;1,"DUPLICATE","UNIQUE"))</f>
        <v/>
      </c>
      <c r="AD718" s="32">
        <f>IF(A718="","",IF(AA718="Rejected",IF(AB718&lt;&gt;"","REJECTED","ADD REASON"),IF(AND(B718&lt;&gt;"",C718&lt;&gt;"",D718&lt;&gt;"",E718&lt;&gt;"",F718&lt;&gt;"",G718&lt;&gt;"",H718&lt;&gt;"",J718&lt;&gt;"",K718&lt;&gt;"",L718&lt;&gt;"",M718&lt;&gt;"",N718&lt;&gt;"",O718&lt;&gt;"",P718&lt;&gt;"",Q718&lt;&gt;"",R718&lt;&gt;"",S718&lt;&gt;"",T718&lt;&gt;"",U718&lt;&gt;"",V718&lt;&gt;"",W718&lt;&gt;"",X718&lt;&gt;"",Y718&lt;&gt;"",AC718="UNIQUE"),"READY","CHECK")))</f>
        <v/>
      </c>
    </row>
    <row r="719">
      <c r="A719" s="25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37" t="n"/>
      <c r="K719" s="34" t="n"/>
      <c r="L719" s="26" t="n"/>
      <c r="M719" s="37" t="n"/>
      <c r="N719" s="37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34" t="n"/>
      <c r="Y719" s="26" t="n"/>
      <c r="Z719" s="26" t="n"/>
      <c r="AA719" s="26" t="n"/>
      <c r="AB719" s="27" t="n"/>
      <c r="AC719" s="32">
        <f>IF(A719="","",IF(COUNTIF($H$5:$H$1004,H719)&gt;1,"DUPLICATE","UNIQUE"))</f>
        <v/>
      </c>
      <c r="AD719" s="32">
        <f>IF(A719="","",IF(AA719="Rejected",IF(AB719&lt;&gt;"","REJECTED","ADD REASON"),IF(AND(B719&lt;&gt;"",C719&lt;&gt;"",D719&lt;&gt;"",E719&lt;&gt;"",F719&lt;&gt;"",G719&lt;&gt;"",H719&lt;&gt;"",J719&lt;&gt;"",K719&lt;&gt;"",L719&lt;&gt;"",M719&lt;&gt;"",N719&lt;&gt;"",O719&lt;&gt;"",P719&lt;&gt;"",Q719&lt;&gt;"",R719&lt;&gt;"",S719&lt;&gt;"",T719&lt;&gt;"",U719&lt;&gt;"",V719&lt;&gt;"",W719&lt;&gt;"",X719&lt;&gt;"",Y719&lt;&gt;"",AC719="UNIQUE"),"READY","CHECK")))</f>
        <v/>
      </c>
    </row>
    <row r="720">
      <c r="A720" s="25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37" t="n"/>
      <c r="K720" s="34" t="n"/>
      <c r="L720" s="26" t="n"/>
      <c r="M720" s="37" t="n"/>
      <c r="N720" s="37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34" t="n"/>
      <c r="Y720" s="26" t="n"/>
      <c r="Z720" s="26" t="n"/>
      <c r="AA720" s="26" t="n"/>
      <c r="AB720" s="27" t="n"/>
      <c r="AC720" s="32">
        <f>IF(A720="","",IF(COUNTIF($H$5:$H$1004,H720)&gt;1,"DUPLICATE","UNIQUE"))</f>
        <v/>
      </c>
      <c r="AD720" s="32">
        <f>IF(A720="","",IF(AA720="Rejected",IF(AB720&lt;&gt;"","REJECTED","ADD REASON"),IF(AND(B720&lt;&gt;"",C720&lt;&gt;"",D720&lt;&gt;"",E720&lt;&gt;"",F720&lt;&gt;"",G720&lt;&gt;"",H720&lt;&gt;"",J720&lt;&gt;"",K720&lt;&gt;"",L720&lt;&gt;"",M720&lt;&gt;"",N720&lt;&gt;"",O720&lt;&gt;"",P720&lt;&gt;"",Q720&lt;&gt;"",R720&lt;&gt;"",S720&lt;&gt;"",T720&lt;&gt;"",U720&lt;&gt;"",V720&lt;&gt;"",W720&lt;&gt;"",X720&lt;&gt;"",Y720&lt;&gt;"",AC720="UNIQUE"),"READY","CHECK")))</f>
        <v/>
      </c>
    </row>
    <row r="721">
      <c r="A721" s="25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37" t="n"/>
      <c r="K721" s="34" t="n"/>
      <c r="L721" s="26" t="n"/>
      <c r="M721" s="37" t="n"/>
      <c r="N721" s="37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34" t="n"/>
      <c r="Y721" s="26" t="n"/>
      <c r="Z721" s="26" t="n"/>
      <c r="AA721" s="26" t="n"/>
      <c r="AB721" s="27" t="n"/>
      <c r="AC721" s="32">
        <f>IF(A721="","",IF(COUNTIF($H$5:$H$1004,H721)&gt;1,"DUPLICATE","UNIQUE"))</f>
        <v/>
      </c>
      <c r="AD721" s="32">
        <f>IF(A721="","",IF(AA721="Rejected",IF(AB721&lt;&gt;"","REJECTED","ADD REASON"),IF(AND(B721&lt;&gt;"",C721&lt;&gt;"",D721&lt;&gt;"",E721&lt;&gt;"",F721&lt;&gt;"",G721&lt;&gt;"",H721&lt;&gt;"",J721&lt;&gt;"",K721&lt;&gt;"",L721&lt;&gt;"",M721&lt;&gt;"",N721&lt;&gt;"",O721&lt;&gt;"",P721&lt;&gt;"",Q721&lt;&gt;"",R721&lt;&gt;"",S721&lt;&gt;"",T721&lt;&gt;"",U721&lt;&gt;"",V721&lt;&gt;"",W721&lt;&gt;"",X721&lt;&gt;"",Y721&lt;&gt;"",AC721="UNIQUE"),"READY","CHECK")))</f>
        <v/>
      </c>
    </row>
    <row r="722">
      <c r="A722" s="25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37" t="n"/>
      <c r="K722" s="34" t="n"/>
      <c r="L722" s="26" t="n"/>
      <c r="M722" s="37" t="n"/>
      <c r="N722" s="37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34" t="n"/>
      <c r="Y722" s="26" t="n"/>
      <c r="Z722" s="26" t="n"/>
      <c r="AA722" s="26" t="n"/>
      <c r="AB722" s="27" t="n"/>
      <c r="AC722" s="32">
        <f>IF(A722="","",IF(COUNTIF($H$5:$H$1004,H722)&gt;1,"DUPLICATE","UNIQUE"))</f>
        <v/>
      </c>
      <c r="AD722" s="32">
        <f>IF(A722="","",IF(AA722="Rejected",IF(AB722&lt;&gt;"","REJECTED","ADD REASON"),IF(AND(B722&lt;&gt;"",C722&lt;&gt;"",D722&lt;&gt;"",E722&lt;&gt;"",F722&lt;&gt;"",G722&lt;&gt;"",H722&lt;&gt;"",J722&lt;&gt;"",K722&lt;&gt;"",L722&lt;&gt;"",M722&lt;&gt;"",N722&lt;&gt;"",O722&lt;&gt;"",P722&lt;&gt;"",Q722&lt;&gt;"",R722&lt;&gt;"",S722&lt;&gt;"",T722&lt;&gt;"",U722&lt;&gt;"",V722&lt;&gt;"",W722&lt;&gt;"",X722&lt;&gt;"",Y722&lt;&gt;"",AC722="UNIQUE"),"READY","CHECK")))</f>
        <v/>
      </c>
    </row>
    <row r="723">
      <c r="A723" s="25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37" t="n"/>
      <c r="K723" s="34" t="n"/>
      <c r="L723" s="26" t="n"/>
      <c r="M723" s="37" t="n"/>
      <c r="N723" s="37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34" t="n"/>
      <c r="Y723" s="26" t="n"/>
      <c r="Z723" s="26" t="n"/>
      <c r="AA723" s="26" t="n"/>
      <c r="AB723" s="27" t="n"/>
      <c r="AC723" s="32">
        <f>IF(A723="","",IF(COUNTIF($H$5:$H$1004,H723)&gt;1,"DUPLICATE","UNIQUE"))</f>
        <v/>
      </c>
      <c r="AD723" s="32">
        <f>IF(A723="","",IF(AA723="Rejected",IF(AB723&lt;&gt;"","REJECTED","ADD REASON"),IF(AND(B723&lt;&gt;"",C723&lt;&gt;"",D723&lt;&gt;"",E723&lt;&gt;"",F723&lt;&gt;"",G723&lt;&gt;"",H723&lt;&gt;"",J723&lt;&gt;"",K723&lt;&gt;"",L723&lt;&gt;"",M723&lt;&gt;"",N723&lt;&gt;"",O723&lt;&gt;"",P723&lt;&gt;"",Q723&lt;&gt;"",R723&lt;&gt;"",S723&lt;&gt;"",T723&lt;&gt;"",U723&lt;&gt;"",V723&lt;&gt;"",W723&lt;&gt;"",X723&lt;&gt;"",Y723&lt;&gt;"",AC723="UNIQUE"),"READY","CHECK")))</f>
        <v/>
      </c>
    </row>
    <row r="724">
      <c r="A724" s="25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37" t="n"/>
      <c r="K724" s="34" t="n"/>
      <c r="L724" s="26" t="n"/>
      <c r="M724" s="37" t="n"/>
      <c r="N724" s="37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34" t="n"/>
      <c r="Y724" s="26" t="n"/>
      <c r="Z724" s="26" t="n"/>
      <c r="AA724" s="26" t="n"/>
      <c r="AB724" s="27" t="n"/>
      <c r="AC724" s="32">
        <f>IF(A724="","",IF(COUNTIF($H$5:$H$1004,H724)&gt;1,"DUPLICATE","UNIQUE"))</f>
        <v/>
      </c>
      <c r="AD724" s="32">
        <f>IF(A724="","",IF(AA724="Rejected",IF(AB724&lt;&gt;"","REJECTED","ADD REASON"),IF(AND(B724&lt;&gt;"",C724&lt;&gt;"",D724&lt;&gt;"",E724&lt;&gt;"",F724&lt;&gt;"",G724&lt;&gt;"",H724&lt;&gt;"",J724&lt;&gt;"",K724&lt;&gt;"",L724&lt;&gt;"",M724&lt;&gt;"",N724&lt;&gt;"",O724&lt;&gt;"",P724&lt;&gt;"",Q724&lt;&gt;"",R724&lt;&gt;"",S724&lt;&gt;"",T724&lt;&gt;"",U724&lt;&gt;"",V724&lt;&gt;"",W724&lt;&gt;"",X724&lt;&gt;"",Y724&lt;&gt;"",AC724="UNIQUE"),"READY","CHECK")))</f>
        <v/>
      </c>
    </row>
    <row r="725">
      <c r="A725" s="25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37" t="n"/>
      <c r="K725" s="34" t="n"/>
      <c r="L725" s="26" t="n"/>
      <c r="M725" s="37" t="n"/>
      <c r="N725" s="37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34" t="n"/>
      <c r="Y725" s="26" t="n"/>
      <c r="Z725" s="26" t="n"/>
      <c r="AA725" s="26" t="n"/>
      <c r="AB725" s="27" t="n"/>
      <c r="AC725" s="32">
        <f>IF(A725="","",IF(COUNTIF($H$5:$H$1004,H725)&gt;1,"DUPLICATE","UNIQUE"))</f>
        <v/>
      </c>
      <c r="AD725" s="32">
        <f>IF(A725="","",IF(AA725="Rejected",IF(AB725&lt;&gt;"","REJECTED","ADD REASON"),IF(AND(B725&lt;&gt;"",C725&lt;&gt;"",D725&lt;&gt;"",E725&lt;&gt;"",F725&lt;&gt;"",G725&lt;&gt;"",H725&lt;&gt;"",J725&lt;&gt;"",K725&lt;&gt;"",L725&lt;&gt;"",M725&lt;&gt;"",N725&lt;&gt;"",O725&lt;&gt;"",P725&lt;&gt;"",Q725&lt;&gt;"",R725&lt;&gt;"",S725&lt;&gt;"",T725&lt;&gt;"",U725&lt;&gt;"",V725&lt;&gt;"",W725&lt;&gt;"",X725&lt;&gt;"",Y725&lt;&gt;"",AC725="UNIQUE"),"READY","CHECK")))</f>
        <v/>
      </c>
    </row>
    <row r="726">
      <c r="A726" s="25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37" t="n"/>
      <c r="K726" s="34" t="n"/>
      <c r="L726" s="26" t="n"/>
      <c r="M726" s="37" t="n"/>
      <c r="N726" s="37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34" t="n"/>
      <c r="Y726" s="26" t="n"/>
      <c r="Z726" s="26" t="n"/>
      <c r="AA726" s="26" t="n"/>
      <c r="AB726" s="27" t="n"/>
      <c r="AC726" s="32">
        <f>IF(A726="","",IF(COUNTIF($H$5:$H$1004,H726)&gt;1,"DUPLICATE","UNIQUE"))</f>
        <v/>
      </c>
      <c r="AD726" s="32">
        <f>IF(A726="","",IF(AA726="Rejected",IF(AB726&lt;&gt;"","REJECTED","ADD REASON"),IF(AND(B726&lt;&gt;"",C726&lt;&gt;"",D726&lt;&gt;"",E726&lt;&gt;"",F726&lt;&gt;"",G726&lt;&gt;"",H726&lt;&gt;"",J726&lt;&gt;"",K726&lt;&gt;"",L726&lt;&gt;"",M726&lt;&gt;"",N726&lt;&gt;"",O726&lt;&gt;"",P726&lt;&gt;"",Q726&lt;&gt;"",R726&lt;&gt;"",S726&lt;&gt;"",T726&lt;&gt;"",U726&lt;&gt;"",V726&lt;&gt;"",W726&lt;&gt;"",X726&lt;&gt;"",Y726&lt;&gt;"",AC726="UNIQUE"),"READY","CHECK")))</f>
        <v/>
      </c>
    </row>
    <row r="727">
      <c r="A727" s="25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37" t="n"/>
      <c r="K727" s="34" t="n"/>
      <c r="L727" s="26" t="n"/>
      <c r="M727" s="37" t="n"/>
      <c r="N727" s="37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34" t="n"/>
      <c r="Y727" s="26" t="n"/>
      <c r="Z727" s="26" t="n"/>
      <c r="AA727" s="26" t="n"/>
      <c r="AB727" s="27" t="n"/>
      <c r="AC727" s="32">
        <f>IF(A727="","",IF(COUNTIF($H$5:$H$1004,H727)&gt;1,"DUPLICATE","UNIQUE"))</f>
        <v/>
      </c>
      <c r="AD727" s="32">
        <f>IF(A727="","",IF(AA727="Rejected",IF(AB727&lt;&gt;"","REJECTED","ADD REASON"),IF(AND(B727&lt;&gt;"",C727&lt;&gt;"",D727&lt;&gt;"",E727&lt;&gt;"",F727&lt;&gt;"",G727&lt;&gt;"",H727&lt;&gt;"",J727&lt;&gt;"",K727&lt;&gt;"",L727&lt;&gt;"",M727&lt;&gt;"",N727&lt;&gt;"",O727&lt;&gt;"",P727&lt;&gt;"",Q727&lt;&gt;"",R727&lt;&gt;"",S727&lt;&gt;"",T727&lt;&gt;"",U727&lt;&gt;"",V727&lt;&gt;"",W727&lt;&gt;"",X727&lt;&gt;"",Y727&lt;&gt;"",AC727="UNIQUE"),"READY","CHECK")))</f>
        <v/>
      </c>
    </row>
    <row r="728">
      <c r="A728" s="25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37" t="n"/>
      <c r="K728" s="34" t="n"/>
      <c r="L728" s="26" t="n"/>
      <c r="M728" s="37" t="n"/>
      <c r="N728" s="37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34" t="n"/>
      <c r="Y728" s="26" t="n"/>
      <c r="Z728" s="26" t="n"/>
      <c r="AA728" s="26" t="n"/>
      <c r="AB728" s="27" t="n"/>
      <c r="AC728" s="32">
        <f>IF(A728="","",IF(COUNTIF($H$5:$H$1004,H728)&gt;1,"DUPLICATE","UNIQUE"))</f>
        <v/>
      </c>
      <c r="AD728" s="32">
        <f>IF(A728="","",IF(AA728="Rejected",IF(AB728&lt;&gt;"","REJECTED","ADD REASON"),IF(AND(B728&lt;&gt;"",C728&lt;&gt;"",D728&lt;&gt;"",E728&lt;&gt;"",F728&lt;&gt;"",G728&lt;&gt;"",H728&lt;&gt;"",J728&lt;&gt;"",K728&lt;&gt;"",L728&lt;&gt;"",M728&lt;&gt;"",N728&lt;&gt;"",O728&lt;&gt;"",P728&lt;&gt;"",Q728&lt;&gt;"",R728&lt;&gt;"",S728&lt;&gt;"",T728&lt;&gt;"",U728&lt;&gt;"",V728&lt;&gt;"",W728&lt;&gt;"",X728&lt;&gt;"",Y728&lt;&gt;"",AC728="UNIQUE"),"READY","CHECK")))</f>
        <v/>
      </c>
    </row>
    <row r="729">
      <c r="A729" s="25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37" t="n"/>
      <c r="K729" s="34" t="n"/>
      <c r="L729" s="26" t="n"/>
      <c r="M729" s="37" t="n"/>
      <c r="N729" s="37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34" t="n"/>
      <c r="Y729" s="26" t="n"/>
      <c r="Z729" s="26" t="n"/>
      <c r="AA729" s="26" t="n"/>
      <c r="AB729" s="27" t="n"/>
      <c r="AC729" s="32">
        <f>IF(A729="","",IF(COUNTIF($H$5:$H$1004,H729)&gt;1,"DUPLICATE","UNIQUE"))</f>
        <v/>
      </c>
      <c r="AD729" s="32">
        <f>IF(A729="","",IF(AA729="Rejected",IF(AB729&lt;&gt;"","REJECTED","ADD REASON"),IF(AND(B729&lt;&gt;"",C729&lt;&gt;"",D729&lt;&gt;"",E729&lt;&gt;"",F729&lt;&gt;"",G729&lt;&gt;"",H729&lt;&gt;"",J729&lt;&gt;"",K729&lt;&gt;"",L729&lt;&gt;"",M729&lt;&gt;"",N729&lt;&gt;"",O729&lt;&gt;"",P729&lt;&gt;"",Q729&lt;&gt;"",R729&lt;&gt;"",S729&lt;&gt;"",T729&lt;&gt;"",U729&lt;&gt;"",V729&lt;&gt;"",W729&lt;&gt;"",X729&lt;&gt;"",Y729&lt;&gt;"",AC729="UNIQUE"),"READY","CHECK")))</f>
        <v/>
      </c>
    </row>
    <row r="730">
      <c r="A730" s="25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37" t="n"/>
      <c r="K730" s="34" t="n"/>
      <c r="L730" s="26" t="n"/>
      <c r="M730" s="37" t="n"/>
      <c r="N730" s="37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34" t="n"/>
      <c r="Y730" s="26" t="n"/>
      <c r="Z730" s="26" t="n"/>
      <c r="AA730" s="26" t="n"/>
      <c r="AB730" s="27" t="n"/>
      <c r="AC730" s="32">
        <f>IF(A730="","",IF(COUNTIF($H$5:$H$1004,H730)&gt;1,"DUPLICATE","UNIQUE"))</f>
        <v/>
      </c>
      <c r="AD730" s="32">
        <f>IF(A730="","",IF(AA730="Rejected",IF(AB730&lt;&gt;"","REJECTED","ADD REASON"),IF(AND(B730&lt;&gt;"",C730&lt;&gt;"",D730&lt;&gt;"",E730&lt;&gt;"",F730&lt;&gt;"",G730&lt;&gt;"",H730&lt;&gt;"",J730&lt;&gt;"",K730&lt;&gt;"",L730&lt;&gt;"",M730&lt;&gt;"",N730&lt;&gt;"",O730&lt;&gt;"",P730&lt;&gt;"",Q730&lt;&gt;"",R730&lt;&gt;"",S730&lt;&gt;"",T730&lt;&gt;"",U730&lt;&gt;"",V730&lt;&gt;"",W730&lt;&gt;"",X730&lt;&gt;"",Y730&lt;&gt;"",AC730="UNIQUE"),"READY","CHECK")))</f>
        <v/>
      </c>
    </row>
    <row r="731">
      <c r="A731" s="25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37" t="n"/>
      <c r="K731" s="34" t="n"/>
      <c r="L731" s="26" t="n"/>
      <c r="M731" s="37" t="n"/>
      <c r="N731" s="37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34" t="n"/>
      <c r="Y731" s="26" t="n"/>
      <c r="Z731" s="26" t="n"/>
      <c r="AA731" s="26" t="n"/>
      <c r="AB731" s="27" t="n"/>
      <c r="AC731" s="32">
        <f>IF(A731="","",IF(COUNTIF($H$5:$H$1004,H731)&gt;1,"DUPLICATE","UNIQUE"))</f>
        <v/>
      </c>
      <c r="AD731" s="32">
        <f>IF(A731="","",IF(AA731="Rejected",IF(AB731&lt;&gt;"","REJECTED","ADD REASON"),IF(AND(B731&lt;&gt;"",C731&lt;&gt;"",D731&lt;&gt;"",E731&lt;&gt;"",F731&lt;&gt;"",G731&lt;&gt;"",H731&lt;&gt;"",J731&lt;&gt;"",K731&lt;&gt;"",L731&lt;&gt;"",M731&lt;&gt;"",N731&lt;&gt;"",O731&lt;&gt;"",P731&lt;&gt;"",Q731&lt;&gt;"",R731&lt;&gt;"",S731&lt;&gt;"",T731&lt;&gt;"",U731&lt;&gt;"",V731&lt;&gt;"",W731&lt;&gt;"",X731&lt;&gt;"",Y731&lt;&gt;"",AC731="UNIQUE"),"READY","CHECK")))</f>
        <v/>
      </c>
    </row>
    <row r="732">
      <c r="A732" s="25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37" t="n"/>
      <c r="K732" s="34" t="n"/>
      <c r="L732" s="26" t="n"/>
      <c r="M732" s="37" t="n"/>
      <c r="N732" s="37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34" t="n"/>
      <c r="Y732" s="26" t="n"/>
      <c r="Z732" s="26" t="n"/>
      <c r="AA732" s="26" t="n"/>
      <c r="AB732" s="27" t="n"/>
      <c r="AC732" s="32">
        <f>IF(A732="","",IF(COUNTIF($H$5:$H$1004,H732)&gt;1,"DUPLICATE","UNIQUE"))</f>
        <v/>
      </c>
      <c r="AD732" s="32">
        <f>IF(A732="","",IF(AA732="Rejected",IF(AB732&lt;&gt;"","REJECTED","ADD REASON"),IF(AND(B732&lt;&gt;"",C732&lt;&gt;"",D732&lt;&gt;"",E732&lt;&gt;"",F732&lt;&gt;"",G732&lt;&gt;"",H732&lt;&gt;"",J732&lt;&gt;"",K732&lt;&gt;"",L732&lt;&gt;"",M732&lt;&gt;"",N732&lt;&gt;"",O732&lt;&gt;"",P732&lt;&gt;"",Q732&lt;&gt;"",R732&lt;&gt;"",S732&lt;&gt;"",T732&lt;&gt;"",U732&lt;&gt;"",V732&lt;&gt;"",W732&lt;&gt;"",X732&lt;&gt;"",Y732&lt;&gt;"",AC732="UNIQUE"),"READY","CHECK")))</f>
        <v/>
      </c>
    </row>
    <row r="733">
      <c r="A733" s="25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37" t="n"/>
      <c r="K733" s="34" t="n"/>
      <c r="L733" s="26" t="n"/>
      <c r="M733" s="37" t="n"/>
      <c r="N733" s="37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34" t="n"/>
      <c r="Y733" s="26" t="n"/>
      <c r="Z733" s="26" t="n"/>
      <c r="AA733" s="26" t="n"/>
      <c r="AB733" s="27" t="n"/>
      <c r="AC733" s="32">
        <f>IF(A733="","",IF(COUNTIF($H$5:$H$1004,H733)&gt;1,"DUPLICATE","UNIQUE"))</f>
        <v/>
      </c>
      <c r="AD733" s="32">
        <f>IF(A733="","",IF(AA733="Rejected",IF(AB733&lt;&gt;"","REJECTED","ADD REASON"),IF(AND(B733&lt;&gt;"",C733&lt;&gt;"",D733&lt;&gt;"",E733&lt;&gt;"",F733&lt;&gt;"",G733&lt;&gt;"",H733&lt;&gt;"",J733&lt;&gt;"",K733&lt;&gt;"",L733&lt;&gt;"",M733&lt;&gt;"",N733&lt;&gt;"",O733&lt;&gt;"",P733&lt;&gt;"",Q733&lt;&gt;"",R733&lt;&gt;"",S733&lt;&gt;"",T733&lt;&gt;"",U733&lt;&gt;"",V733&lt;&gt;"",W733&lt;&gt;"",X733&lt;&gt;"",Y733&lt;&gt;"",AC733="UNIQUE"),"READY","CHECK")))</f>
        <v/>
      </c>
    </row>
    <row r="734">
      <c r="A734" s="25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37" t="n"/>
      <c r="K734" s="34" t="n"/>
      <c r="L734" s="26" t="n"/>
      <c r="M734" s="37" t="n"/>
      <c r="N734" s="37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34" t="n"/>
      <c r="Y734" s="26" t="n"/>
      <c r="Z734" s="26" t="n"/>
      <c r="AA734" s="26" t="n"/>
      <c r="AB734" s="27" t="n"/>
      <c r="AC734" s="32">
        <f>IF(A734="","",IF(COUNTIF($H$5:$H$1004,H734)&gt;1,"DUPLICATE","UNIQUE"))</f>
        <v/>
      </c>
      <c r="AD734" s="32">
        <f>IF(A734="","",IF(AA734="Rejected",IF(AB734&lt;&gt;"","REJECTED","ADD REASON"),IF(AND(B734&lt;&gt;"",C734&lt;&gt;"",D734&lt;&gt;"",E734&lt;&gt;"",F734&lt;&gt;"",G734&lt;&gt;"",H734&lt;&gt;"",J734&lt;&gt;"",K734&lt;&gt;"",L734&lt;&gt;"",M734&lt;&gt;"",N734&lt;&gt;"",O734&lt;&gt;"",P734&lt;&gt;"",Q734&lt;&gt;"",R734&lt;&gt;"",S734&lt;&gt;"",T734&lt;&gt;"",U734&lt;&gt;"",V734&lt;&gt;"",W734&lt;&gt;"",X734&lt;&gt;"",Y734&lt;&gt;"",AC734="UNIQUE"),"READY","CHECK")))</f>
        <v/>
      </c>
    </row>
    <row r="735">
      <c r="A735" s="25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37" t="n"/>
      <c r="K735" s="34" t="n"/>
      <c r="L735" s="26" t="n"/>
      <c r="M735" s="37" t="n"/>
      <c r="N735" s="37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34" t="n"/>
      <c r="Y735" s="26" t="n"/>
      <c r="Z735" s="26" t="n"/>
      <c r="AA735" s="26" t="n"/>
      <c r="AB735" s="27" t="n"/>
      <c r="AC735" s="32">
        <f>IF(A735="","",IF(COUNTIF($H$5:$H$1004,H735)&gt;1,"DUPLICATE","UNIQUE"))</f>
        <v/>
      </c>
      <c r="AD735" s="32">
        <f>IF(A735="","",IF(AA735="Rejected",IF(AB735&lt;&gt;"","REJECTED","ADD REASON"),IF(AND(B735&lt;&gt;"",C735&lt;&gt;"",D735&lt;&gt;"",E735&lt;&gt;"",F735&lt;&gt;"",G735&lt;&gt;"",H735&lt;&gt;"",J735&lt;&gt;"",K735&lt;&gt;"",L735&lt;&gt;"",M735&lt;&gt;"",N735&lt;&gt;"",O735&lt;&gt;"",P735&lt;&gt;"",Q735&lt;&gt;"",R735&lt;&gt;"",S735&lt;&gt;"",T735&lt;&gt;"",U735&lt;&gt;"",V735&lt;&gt;"",W735&lt;&gt;"",X735&lt;&gt;"",Y735&lt;&gt;"",AC735="UNIQUE"),"READY","CHECK")))</f>
        <v/>
      </c>
    </row>
    <row r="736">
      <c r="A736" s="25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37" t="n"/>
      <c r="K736" s="34" t="n"/>
      <c r="L736" s="26" t="n"/>
      <c r="M736" s="37" t="n"/>
      <c r="N736" s="37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34" t="n"/>
      <c r="Y736" s="26" t="n"/>
      <c r="Z736" s="26" t="n"/>
      <c r="AA736" s="26" t="n"/>
      <c r="AB736" s="27" t="n"/>
      <c r="AC736" s="32">
        <f>IF(A736="","",IF(COUNTIF($H$5:$H$1004,H736)&gt;1,"DUPLICATE","UNIQUE"))</f>
        <v/>
      </c>
      <c r="AD736" s="32">
        <f>IF(A736="","",IF(AA736="Rejected",IF(AB736&lt;&gt;"","REJECTED","ADD REASON"),IF(AND(B736&lt;&gt;"",C736&lt;&gt;"",D736&lt;&gt;"",E736&lt;&gt;"",F736&lt;&gt;"",G736&lt;&gt;"",H736&lt;&gt;"",J736&lt;&gt;"",K736&lt;&gt;"",L736&lt;&gt;"",M736&lt;&gt;"",N736&lt;&gt;"",O736&lt;&gt;"",P736&lt;&gt;"",Q736&lt;&gt;"",R736&lt;&gt;"",S736&lt;&gt;"",T736&lt;&gt;"",U736&lt;&gt;"",V736&lt;&gt;"",W736&lt;&gt;"",X736&lt;&gt;"",Y736&lt;&gt;"",AC736="UNIQUE"),"READY","CHECK")))</f>
        <v/>
      </c>
    </row>
    <row r="737">
      <c r="A737" s="25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37" t="n"/>
      <c r="K737" s="34" t="n"/>
      <c r="L737" s="26" t="n"/>
      <c r="M737" s="37" t="n"/>
      <c r="N737" s="37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34" t="n"/>
      <c r="Y737" s="26" t="n"/>
      <c r="Z737" s="26" t="n"/>
      <c r="AA737" s="26" t="n"/>
      <c r="AB737" s="27" t="n"/>
      <c r="AC737" s="32">
        <f>IF(A737="","",IF(COUNTIF($H$5:$H$1004,H737)&gt;1,"DUPLICATE","UNIQUE"))</f>
        <v/>
      </c>
      <c r="AD737" s="32">
        <f>IF(A737="","",IF(AA737="Rejected",IF(AB737&lt;&gt;"","REJECTED","ADD REASON"),IF(AND(B737&lt;&gt;"",C737&lt;&gt;"",D737&lt;&gt;"",E737&lt;&gt;"",F737&lt;&gt;"",G737&lt;&gt;"",H737&lt;&gt;"",J737&lt;&gt;"",K737&lt;&gt;"",L737&lt;&gt;"",M737&lt;&gt;"",N737&lt;&gt;"",O737&lt;&gt;"",P737&lt;&gt;"",Q737&lt;&gt;"",R737&lt;&gt;"",S737&lt;&gt;"",T737&lt;&gt;"",U737&lt;&gt;"",V737&lt;&gt;"",W737&lt;&gt;"",X737&lt;&gt;"",Y737&lt;&gt;"",AC737="UNIQUE"),"READY","CHECK")))</f>
        <v/>
      </c>
    </row>
    <row r="738">
      <c r="A738" s="25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37" t="n"/>
      <c r="K738" s="34" t="n"/>
      <c r="L738" s="26" t="n"/>
      <c r="M738" s="37" t="n"/>
      <c r="N738" s="37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34" t="n"/>
      <c r="Y738" s="26" t="n"/>
      <c r="Z738" s="26" t="n"/>
      <c r="AA738" s="26" t="n"/>
      <c r="AB738" s="27" t="n"/>
      <c r="AC738" s="32">
        <f>IF(A738="","",IF(COUNTIF($H$5:$H$1004,H738)&gt;1,"DUPLICATE","UNIQUE"))</f>
        <v/>
      </c>
      <c r="AD738" s="32">
        <f>IF(A738="","",IF(AA738="Rejected",IF(AB738&lt;&gt;"","REJECTED","ADD REASON"),IF(AND(B738&lt;&gt;"",C738&lt;&gt;"",D738&lt;&gt;"",E738&lt;&gt;"",F738&lt;&gt;"",G738&lt;&gt;"",H738&lt;&gt;"",J738&lt;&gt;"",K738&lt;&gt;"",L738&lt;&gt;"",M738&lt;&gt;"",N738&lt;&gt;"",O738&lt;&gt;"",P738&lt;&gt;"",Q738&lt;&gt;"",R738&lt;&gt;"",S738&lt;&gt;"",T738&lt;&gt;"",U738&lt;&gt;"",V738&lt;&gt;"",W738&lt;&gt;"",X738&lt;&gt;"",Y738&lt;&gt;"",AC738="UNIQUE"),"READY","CHECK")))</f>
        <v/>
      </c>
    </row>
    <row r="739">
      <c r="A739" s="25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37" t="n"/>
      <c r="K739" s="34" t="n"/>
      <c r="L739" s="26" t="n"/>
      <c r="M739" s="37" t="n"/>
      <c r="N739" s="37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34" t="n"/>
      <c r="Y739" s="26" t="n"/>
      <c r="Z739" s="26" t="n"/>
      <c r="AA739" s="26" t="n"/>
      <c r="AB739" s="27" t="n"/>
      <c r="AC739" s="32">
        <f>IF(A739="","",IF(COUNTIF($H$5:$H$1004,H739)&gt;1,"DUPLICATE","UNIQUE"))</f>
        <v/>
      </c>
      <c r="AD739" s="32">
        <f>IF(A739="","",IF(AA739="Rejected",IF(AB739&lt;&gt;"","REJECTED","ADD REASON"),IF(AND(B739&lt;&gt;"",C739&lt;&gt;"",D739&lt;&gt;"",E739&lt;&gt;"",F739&lt;&gt;"",G739&lt;&gt;"",H739&lt;&gt;"",J739&lt;&gt;"",K739&lt;&gt;"",L739&lt;&gt;"",M739&lt;&gt;"",N739&lt;&gt;"",O739&lt;&gt;"",P739&lt;&gt;"",Q739&lt;&gt;"",R739&lt;&gt;"",S739&lt;&gt;"",T739&lt;&gt;"",U739&lt;&gt;"",V739&lt;&gt;"",W739&lt;&gt;"",X739&lt;&gt;"",Y739&lt;&gt;"",AC739="UNIQUE"),"READY","CHECK")))</f>
        <v/>
      </c>
    </row>
    <row r="740">
      <c r="A740" s="25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37" t="n"/>
      <c r="K740" s="34" t="n"/>
      <c r="L740" s="26" t="n"/>
      <c r="M740" s="37" t="n"/>
      <c r="N740" s="37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34" t="n"/>
      <c r="Y740" s="26" t="n"/>
      <c r="Z740" s="26" t="n"/>
      <c r="AA740" s="26" t="n"/>
      <c r="AB740" s="27" t="n"/>
      <c r="AC740" s="32">
        <f>IF(A740="","",IF(COUNTIF($H$5:$H$1004,H740)&gt;1,"DUPLICATE","UNIQUE"))</f>
        <v/>
      </c>
      <c r="AD740" s="32">
        <f>IF(A740="","",IF(AA740="Rejected",IF(AB740&lt;&gt;"","REJECTED","ADD REASON"),IF(AND(B740&lt;&gt;"",C740&lt;&gt;"",D740&lt;&gt;"",E740&lt;&gt;"",F740&lt;&gt;"",G740&lt;&gt;"",H740&lt;&gt;"",J740&lt;&gt;"",K740&lt;&gt;"",L740&lt;&gt;"",M740&lt;&gt;"",N740&lt;&gt;"",O740&lt;&gt;"",P740&lt;&gt;"",Q740&lt;&gt;"",R740&lt;&gt;"",S740&lt;&gt;"",T740&lt;&gt;"",U740&lt;&gt;"",V740&lt;&gt;"",W740&lt;&gt;"",X740&lt;&gt;"",Y740&lt;&gt;"",AC740="UNIQUE"),"READY","CHECK")))</f>
        <v/>
      </c>
    </row>
    <row r="741">
      <c r="A741" s="25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37" t="n"/>
      <c r="K741" s="34" t="n"/>
      <c r="L741" s="26" t="n"/>
      <c r="M741" s="37" t="n"/>
      <c r="N741" s="37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34" t="n"/>
      <c r="Y741" s="26" t="n"/>
      <c r="Z741" s="26" t="n"/>
      <c r="AA741" s="26" t="n"/>
      <c r="AB741" s="27" t="n"/>
      <c r="AC741" s="32">
        <f>IF(A741="","",IF(COUNTIF($H$5:$H$1004,H741)&gt;1,"DUPLICATE","UNIQUE"))</f>
        <v/>
      </c>
      <c r="AD741" s="32">
        <f>IF(A741="","",IF(AA741="Rejected",IF(AB741&lt;&gt;"","REJECTED","ADD REASON"),IF(AND(B741&lt;&gt;"",C741&lt;&gt;"",D741&lt;&gt;"",E741&lt;&gt;"",F741&lt;&gt;"",G741&lt;&gt;"",H741&lt;&gt;"",J741&lt;&gt;"",K741&lt;&gt;"",L741&lt;&gt;"",M741&lt;&gt;"",N741&lt;&gt;"",O741&lt;&gt;"",P741&lt;&gt;"",Q741&lt;&gt;"",R741&lt;&gt;"",S741&lt;&gt;"",T741&lt;&gt;"",U741&lt;&gt;"",V741&lt;&gt;"",W741&lt;&gt;"",X741&lt;&gt;"",Y741&lt;&gt;"",AC741="UNIQUE"),"READY","CHECK")))</f>
        <v/>
      </c>
    </row>
    <row r="742">
      <c r="A742" s="25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37" t="n"/>
      <c r="K742" s="34" t="n"/>
      <c r="L742" s="26" t="n"/>
      <c r="M742" s="37" t="n"/>
      <c r="N742" s="37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34" t="n"/>
      <c r="Y742" s="26" t="n"/>
      <c r="Z742" s="26" t="n"/>
      <c r="AA742" s="26" t="n"/>
      <c r="AB742" s="27" t="n"/>
      <c r="AC742" s="32">
        <f>IF(A742="","",IF(COUNTIF($H$5:$H$1004,H742)&gt;1,"DUPLICATE","UNIQUE"))</f>
        <v/>
      </c>
      <c r="AD742" s="32">
        <f>IF(A742="","",IF(AA742="Rejected",IF(AB742&lt;&gt;"","REJECTED","ADD REASON"),IF(AND(B742&lt;&gt;"",C742&lt;&gt;"",D742&lt;&gt;"",E742&lt;&gt;"",F742&lt;&gt;"",G742&lt;&gt;"",H742&lt;&gt;"",J742&lt;&gt;"",K742&lt;&gt;"",L742&lt;&gt;"",M742&lt;&gt;"",N742&lt;&gt;"",O742&lt;&gt;"",P742&lt;&gt;"",Q742&lt;&gt;"",R742&lt;&gt;"",S742&lt;&gt;"",T742&lt;&gt;"",U742&lt;&gt;"",V742&lt;&gt;"",W742&lt;&gt;"",X742&lt;&gt;"",Y742&lt;&gt;"",AC742="UNIQUE"),"READY","CHECK")))</f>
        <v/>
      </c>
    </row>
    <row r="743">
      <c r="A743" s="25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37" t="n"/>
      <c r="K743" s="34" t="n"/>
      <c r="L743" s="26" t="n"/>
      <c r="M743" s="37" t="n"/>
      <c r="N743" s="37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34" t="n"/>
      <c r="Y743" s="26" t="n"/>
      <c r="Z743" s="26" t="n"/>
      <c r="AA743" s="26" t="n"/>
      <c r="AB743" s="27" t="n"/>
      <c r="AC743" s="32">
        <f>IF(A743="","",IF(COUNTIF($H$5:$H$1004,H743)&gt;1,"DUPLICATE","UNIQUE"))</f>
        <v/>
      </c>
      <c r="AD743" s="32">
        <f>IF(A743="","",IF(AA743="Rejected",IF(AB743&lt;&gt;"","REJECTED","ADD REASON"),IF(AND(B743&lt;&gt;"",C743&lt;&gt;"",D743&lt;&gt;"",E743&lt;&gt;"",F743&lt;&gt;"",G743&lt;&gt;"",H743&lt;&gt;"",J743&lt;&gt;"",K743&lt;&gt;"",L743&lt;&gt;"",M743&lt;&gt;"",N743&lt;&gt;"",O743&lt;&gt;"",P743&lt;&gt;"",Q743&lt;&gt;"",R743&lt;&gt;"",S743&lt;&gt;"",T743&lt;&gt;"",U743&lt;&gt;"",V743&lt;&gt;"",W743&lt;&gt;"",X743&lt;&gt;"",Y743&lt;&gt;"",AC743="UNIQUE"),"READY","CHECK")))</f>
        <v/>
      </c>
    </row>
    <row r="744">
      <c r="A744" s="25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37" t="n"/>
      <c r="K744" s="34" t="n"/>
      <c r="L744" s="26" t="n"/>
      <c r="M744" s="37" t="n"/>
      <c r="N744" s="37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34" t="n"/>
      <c r="Y744" s="26" t="n"/>
      <c r="Z744" s="26" t="n"/>
      <c r="AA744" s="26" t="n"/>
      <c r="AB744" s="27" t="n"/>
      <c r="AC744" s="32">
        <f>IF(A744="","",IF(COUNTIF($H$5:$H$1004,H744)&gt;1,"DUPLICATE","UNIQUE"))</f>
        <v/>
      </c>
      <c r="AD744" s="32">
        <f>IF(A744="","",IF(AA744="Rejected",IF(AB744&lt;&gt;"","REJECTED","ADD REASON"),IF(AND(B744&lt;&gt;"",C744&lt;&gt;"",D744&lt;&gt;"",E744&lt;&gt;"",F744&lt;&gt;"",G744&lt;&gt;"",H744&lt;&gt;"",J744&lt;&gt;"",K744&lt;&gt;"",L744&lt;&gt;"",M744&lt;&gt;"",N744&lt;&gt;"",O744&lt;&gt;"",P744&lt;&gt;"",Q744&lt;&gt;"",R744&lt;&gt;"",S744&lt;&gt;"",T744&lt;&gt;"",U744&lt;&gt;"",V744&lt;&gt;"",W744&lt;&gt;"",X744&lt;&gt;"",Y744&lt;&gt;"",AC744="UNIQUE"),"READY","CHECK")))</f>
        <v/>
      </c>
    </row>
    <row r="745">
      <c r="A745" s="25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37" t="n"/>
      <c r="K745" s="34" t="n"/>
      <c r="L745" s="26" t="n"/>
      <c r="M745" s="37" t="n"/>
      <c r="N745" s="37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34" t="n"/>
      <c r="Y745" s="26" t="n"/>
      <c r="Z745" s="26" t="n"/>
      <c r="AA745" s="26" t="n"/>
      <c r="AB745" s="27" t="n"/>
      <c r="AC745" s="32">
        <f>IF(A745="","",IF(COUNTIF($H$5:$H$1004,H745)&gt;1,"DUPLICATE","UNIQUE"))</f>
        <v/>
      </c>
      <c r="AD745" s="32">
        <f>IF(A745="","",IF(AA745="Rejected",IF(AB745&lt;&gt;"","REJECTED","ADD REASON"),IF(AND(B745&lt;&gt;"",C745&lt;&gt;"",D745&lt;&gt;"",E745&lt;&gt;"",F745&lt;&gt;"",G745&lt;&gt;"",H745&lt;&gt;"",J745&lt;&gt;"",K745&lt;&gt;"",L745&lt;&gt;"",M745&lt;&gt;"",N745&lt;&gt;"",O745&lt;&gt;"",P745&lt;&gt;"",Q745&lt;&gt;"",R745&lt;&gt;"",S745&lt;&gt;"",T745&lt;&gt;"",U745&lt;&gt;"",V745&lt;&gt;"",W745&lt;&gt;"",X745&lt;&gt;"",Y745&lt;&gt;"",AC745="UNIQUE"),"READY","CHECK")))</f>
        <v/>
      </c>
    </row>
    <row r="746">
      <c r="A746" s="25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37" t="n"/>
      <c r="K746" s="34" t="n"/>
      <c r="L746" s="26" t="n"/>
      <c r="M746" s="37" t="n"/>
      <c r="N746" s="37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34" t="n"/>
      <c r="Y746" s="26" t="n"/>
      <c r="Z746" s="26" t="n"/>
      <c r="AA746" s="26" t="n"/>
      <c r="AB746" s="27" t="n"/>
      <c r="AC746" s="32">
        <f>IF(A746="","",IF(COUNTIF($H$5:$H$1004,H746)&gt;1,"DUPLICATE","UNIQUE"))</f>
        <v/>
      </c>
      <c r="AD746" s="32">
        <f>IF(A746="","",IF(AA746="Rejected",IF(AB746&lt;&gt;"","REJECTED","ADD REASON"),IF(AND(B746&lt;&gt;"",C746&lt;&gt;"",D746&lt;&gt;"",E746&lt;&gt;"",F746&lt;&gt;"",G746&lt;&gt;"",H746&lt;&gt;"",J746&lt;&gt;"",K746&lt;&gt;"",L746&lt;&gt;"",M746&lt;&gt;"",N746&lt;&gt;"",O746&lt;&gt;"",P746&lt;&gt;"",Q746&lt;&gt;"",R746&lt;&gt;"",S746&lt;&gt;"",T746&lt;&gt;"",U746&lt;&gt;"",V746&lt;&gt;"",W746&lt;&gt;"",X746&lt;&gt;"",Y746&lt;&gt;"",AC746="UNIQUE"),"READY","CHECK")))</f>
        <v/>
      </c>
    </row>
    <row r="747">
      <c r="A747" s="25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37" t="n"/>
      <c r="K747" s="34" t="n"/>
      <c r="L747" s="26" t="n"/>
      <c r="M747" s="37" t="n"/>
      <c r="N747" s="37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34" t="n"/>
      <c r="Y747" s="26" t="n"/>
      <c r="Z747" s="26" t="n"/>
      <c r="AA747" s="26" t="n"/>
      <c r="AB747" s="27" t="n"/>
      <c r="AC747" s="32">
        <f>IF(A747="","",IF(COUNTIF($H$5:$H$1004,H747)&gt;1,"DUPLICATE","UNIQUE"))</f>
        <v/>
      </c>
      <c r="AD747" s="32">
        <f>IF(A747="","",IF(AA747="Rejected",IF(AB747&lt;&gt;"","REJECTED","ADD REASON"),IF(AND(B747&lt;&gt;"",C747&lt;&gt;"",D747&lt;&gt;"",E747&lt;&gt;"",F747&lt;&gt;"",G747&lt;&gt;"",H747&lt;&gt;"",J747&lt;&gt;"",K747&lt;&gt;"",L747&lt;&gt;"",M747&lt;&gt;"",N747&lt;&gt;"",O747&lt;&gt;"",P747&lt;&gt;"",Q747&lt;&gt;"",R747&lt;&gt;"",S747&lt;&gt;"",T747&lt;&gt;"",U747&lt;&gt;"",V747&lt;&gt;"",W747&lt;&gt;"",X747&lt;&gt;"",Y747&lt;&gt;"",AC747="UNIQUE"),"READY","CHECK")))</f>
        <v/>
      </c>
    </row>
    <row r="748">
      <c r="A748" s="25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37" t="n"/>
      <c r="K748" s="34" t="n"/>
      <c r="L748" s="26" t="n"/>
      <c r="M748" s="37" t="n"/>
      <c r="N748" s="37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34" t="n"/>
      <c r="Y748" s="26" t="n"/>
      <c r="Z748" s="26" t="n"/>
      <c r="AA748" s="26" t="n"/>
      <c r="AB748" s="27" t="n"/>
      <c r="AC748" s="32">
        <f>IF(A748="","",IF(COUNTIF($H$5:$H$1004,H748)&gt;1,"DUPLICATE","UNIQUE"))</f>
        <v/>
      </c>
      <c r="AD748" s="32">
        <f>IF(A748="","",IF(AA748="Rejected",IF(AB748&lt;&gt;"","REJECTED","ADD REASON"),IF(AND(B748&lt;&gt;"",C748&lt;&gt;"",D748&lt;&gt;"",E748&lt;&gt;"",F748&lt;&gt;"",G748&lt;&gt;"",H748&lt;&gt;"",J748&lt;&gt;"",K748&lt;&gt;"",L748&lt;&gt;"",M748&lt;&gt;"",N748&lt;&gt;"",O748&lt;&gt;"",P748&lt;&gt;"",Q748&lt;&gt;"",R748&lt;&gt;"",S748&lt;&gt;"",T748&lt;&gt;"",U748&lt;&gt;"",V748&lt;&gt;"",W748&lt;&gt;"",X748&lt;&gt;"",Y748&lt;&gt;"",AC748="UNIQUE"),"READY","CHECK")))</f>
        <v/>
      </c>
    </row>
    <row r="749">
      <c r="A749" s="25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37" t="n"/>
      <c r="K749" s="34" t="n"/>
      <c r="L749" s="26" t="n"/>
      <c r="M749" s="37" t="n"/>
      <c r="N749" s="37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34" t="n"/>
      <c r="Y749" s="26" t="n"/>
      <c r="Z749" s="26" t="n"/>
      <c r="AA749" s="26" t="n"/>
      <c r="AB749" s="27" t="n"/>
      <c r="AC749" s="32">
        <f>IF(A749="","",IF(COUNTIF($H$5:$H$1004,H749)&gt;1,"DUPLICATE","UNIQUE"))</f>
        <v/>
      </c>
      <c r="AD749" s="32">
        <f>IF(A749="","",IF(AA749="Rejected",IF(AB749&lt;&gt;"","REJECTED","ADD REASON"),IF(AND(B749&lt;&gt;"",C749&lt;&gt;"",D749&lt;&gt;"",E749&lt;&gt;"",F749&lt;&gt;"",G749&lt;&gt;"",H749&lt;&gt;"",J749&lt;&gt;"",K749&lt;&gt;"",L749&lt;&gt;"",M749&lt;&gt;"",N749&lt;&gt;"",O749&lt;&gt;"",P749&lt;&gt;"",Q749&lt;&gt;"",R749&lt;&gt;"",S749&lt;&gt;"",T749&lt;&gt;"",U749&lt;&gt;"",V749&lt;&gt;"",W749&lt;&gt;"",X749&lt;&gt;"",Y749&lt;&gt;"",AC749="UNIQUE"),"READY","CHECK")))</f>
        <v/>
      </c>
    </row>
    <row r="750">
      <c r="A750" s="25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37" t="n"/>
      <c r="K750" s="34" t="n"/>
      <c r="L750" s="26" t="n"/>
      <c r="M750" s="37" t="n"/>
      <c r="N750" s="37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34" t="n"/>
      <c r="Y750" s="26" t="n"/>
      <c r="Z750" s="26" t="n"/>
      <c r="AA750" s="26" t="n"/>
      <c r="AB750" s="27" t="n"/>
      <c r="AC750" s="32">
        <f>IF(A750="","",IF(COUNTIF($H$5:$H$1004,H750)&gt;1,"DUPLICATE","UNIQUE"))</f>
        <v/>
      </c>
      <c r="AD750" s="32">
        <f>IF(A750="","",IF(AA750="Rejected",IF(AB750&lt;&gt;"","REJECTED","ADD REASON"),IF(AND(B750&lt;&gt;"",C750&lt;&gt;"",D750&lt;&gt;"",E750&lt;&gt;"",F750&lt;&gt;"",G750&lt;&gt;"",H750&lt;&gt;"",J750&lt;&gt;"",K750&lt;&gt;"",L750&lt;&gt;"",M750&lt;&gt;"",N750&lt;&gt;"",O750&lt;&gt;"",P750&lt;&gt;"",Q750&lt;&gt;"",R750&lt;&gt;"",S750&lt;&gt;"",T750&lt;&gt;"",U750&lt;&gt;"",V750&lt;&gt;"",W750&lt;&gt;"",X750&lt;&gt;"",Y750&lt;&gt;"",AC750="UNIQUE"),"READY","CHECK")))</f>
        <v/>
      </c>
    </row>
    <row r="751">
      <c r="A751" s="25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37" t="n"/>
      <c r="K751" s="34" t="n"/>
      <c r="L751" s="26" t="n"/>
      <c r="M751" s="37" t="n"/>
      <c r="N751" s="37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34" t="n"/>
      <c r="Y751" s="26" t="n"/>
      <c r="Z751" s="26" t="n"/>
      <c r="AA751" s="26" t="n"/>
      <c r="AB751" s="27" t="n"/>
      <c r="AC751" s="32">
        <f>IF(A751="","",IF(COUNTIF($H$5:$H$1004,H751)&gt;1,"DUPLICATE","UNIQUE"))</f>
        <v/>
      </c>
      <c r="AD751" s="32">
        <f>IF(A751="","",IF(AA751="Rejected",IF(AB751&lt;&gt;"","REJECTED","ADD REASON"),IF(AND(B751&lt;&gt;"",C751&lt;&gt;"",D751&lt;&gt;"",E751&lt;&gt;"",F751&lt;&gt;"",G751&lt;&gt;"",H751&lt;&gt;"",J751&lt;&gt;"",K751&lt;&gt;"",L751&lt;&gt;"",M751&lt;&gt;"",N751&lt;&gt;"",O751&lt;&gt;"",P751&lt;&gt;"",Q751&lt;&gt;"",R751&lt;&gt;"",S751&lt;&gt;"",T751&lt;&gt;"",U751&lt;&gt;"",V751&lt;&gt;"",W751&lt;&gt;"",X751&lt;&gt;"",Y751&lt;&gt;"",AC751="UNIQUE"),"READY","CHECK")))</f>
        <v/>
      </c>
    </row>
    <row r="752">
      <c r="A752" s="25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37" t="n"/>
      <c r="K752" s="34" t="n"/>
      <c r="L752" s="26" t="n"/>
      <c r="M752" s="37" t="n"/>
      <c r="N752" s="37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34" t="n"/>
      <c r="Y752" s="26" t="n"/>
      <c r="Z752" s="26" t="n"/>
      <c r="AA752" s="26" t="n"/>
      <c r="AB752" s="27" t="n"/>
      <c r="AC752" s="32">
        <f>IF(A752="","",IF(COUNTIF($H$5:$H$1004,H752)&gt;1,"DUPLICATE","UNIQUE"))</f>
        <v/>
      </c>
      <c r="AD752" s="32">
        <f>IF(A752="","",IF(AA752="Rejected",IF(AB752&lt;&gt;"","REJECTED","ADD REASON"),IF(AND(B752&lt;&gt;"",C752&lt;&gt;"",D752&lt;&gt;"",E752&lt;&gt;"",F752&lt;&gt;"",G752&lt;&gt;"",H752&lt;&gt;"",J752&lt;&gt;"",K752&lt;&gt;"",L752&lt;&gt;"",M752&lt;&gt;"",N752&lt;&gt;"",O752&lt;&gt;"",P752&lt;&gt;"",Q752&lt;&gt;"",R752&lt;&gt;"",S752&lt;&gt;"",T752&lt;&gt;"",U752&lt;&gt;"",V752&lt;&gt;"",W752&lt;&gt;"",X752&lt;&gt;"",Y752&lt;&gt;"",AC752="UNIQUE"),"READY","CHECK")))</f>
        <v/>
      </c>
    </row>
    <row r="753">
      <c r="A753" s="25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37" t="n"/>
      <c r="K753" s="34" t="n"/>
      <c r="L753" s="26" t="n"/>
      <c r="M753" s="37" t="n"/>
      <c r="N753" s="37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34" t="n"/>
      <c r="Y753" s="26" t="n"/>
      <c r="Z753" s="26" t="n"/>
      <c r="AA753" s="26" t="n"/>
      <c r="AB753" s="27" t="n"/>
      <c r="AC753" s="32">
        <f>IF(A753="","",IF(COUNTIF($H$5:$H$1004,H753)&gt;1,"DUPLICATE","UNIQUE"))</f>
        <v/>
      </c>
      <c r="AD753" s="32">
        <f>IF(A753="","",IF(AA753="Rejected",IF(AB753&lt;&gt;"","REJECTED","ADD REASON"),IF(AND(B753&lt;&gt;"",C753&lt;&gt;"",D753&lt;&gt;"",E753&lt;&gt;"",F753&lt;&gt;"",G753&lt;&gt;"",H753&lt;&gt;"",J753&lt;&gt;"",K753&lt;&gt;"",L753&lt;&gt;"",M753&lt;&gt;"",N753&lt;&gt;"",O753&lt;&gt;"",P753&lt;&gt;"",Q753&lt;&gt;"",R753&lt;&gt;"",S753&lt;&gt;"",T753&lt;&gt;"",U753&lt;&gt;"",V753&lt;&gt;"",W753&lt;&gt;"",X753&lt;&gt;"",Y753&lt;&gt;"",AC753="UNIQUE"),"READY","CHECK")))</f>
        <v/>
      </c>
    </row>
    <row r="754">
      <c r="A754" s="25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37" t="n"/>
      <c r="K754" s="34" t="n"/>
      <c r="L754" s="26" t="n"/>
      <c r="M754" s="37" t="n"/>
      <c r="N754" s="37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34" t="n"/>
      <c r="Y754" s="26" t="n"/>
      <c r="Z754" s="26" t="n"/>
      <c r="AA754" s="26" t="n"/>
      <c r="AB754" s="27" t="n"/>
      <c r="AC754" s="32">
        <f>IF(A754="","",IF(COUNTIF($H$5:$H$1004,H754)&gt;1,"DUPLICATE","UNIQUE"))</f>
        <v/>
      </c>
      <c r="AD754" s="32">
        <f>IF(A754="","",IF(AA754="Rejected",IF(AB754&lt;&gt;"","REJECTED","ADD REASON"),IF(AND(B754&lt;&gt;"",C754&lt;&gt;"",D754&lt;&gt;"",E754&lt;&gt;"",F754&lt;&gt;"",G754&lt;&gt;"",H754&lt;&gt;"",J754&lt;&gt;"",K754&lt;&gt;"",L754&lt;&gt;"",M754&lt;&gt;"",N754&lt;&gt;"",O754&lt;&gt;"",P754&lt;&gt;"",Q754&lt;&gt;"",R754&lt;&gt;"",S754&lt;&gt;"",T754&lt;&gt;"",U754&lt;&gt;"",V754&lt;&gt;"",W754&lt;&gt;"",X754&lt;&gt;"",Y754&lt;&gt;"",AC754="UNIQUE"),"READY","CHECK")))</f>
        <v/>
      </c>
    </row>
    <row r="755">
      <c r="A755" s="25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37" t="n"/>
      <c r="K755" s="34" t="n"/>
      <c r="L755" s="26" t="n"/>
      <c r="M755" s="37" t="n"/>
      <c r="N755" s="37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34" t="n"/>
      <c r="Y755" s="26" t="n"/>
      <c r="Z755" s="26" t="n"/>
      <c r="AA755" s="26" t="n"/>
      <c r="AB755" s="27" t="n"/>
      <c r="AC755" s="32">
        <f>IF(A755="","",IF(COUNTIF($H$5:$H$1004,H755)&gt;1,"DUPLICATE","UNIQUE"))</f>
        <v/>
      </c>
      <c r="AD755" s="32">
        <f>IF(A755="","",IF(AA755="Rejected",IF(AB755&lt;&gt;"","REJECTED","ADD REASON"),IF(AND(B755&lt;&gt;"",C755&lt;&gt;"",D755&lt;&gt;"",E755&lt;&gt;"",F755&lt;&gt;"",G755&lt;&gt;"",H755&lt;&gt;"",J755&lt;&gt;"",K755&lt;&gt;"",L755&lt;&gt;"",M755&lt;&gt;"",N755&lt;&gt;"",O755&lt;&gt;"",P755&lt;&gt;"",Q755&lt;&gt;"",R755&lt;&gt;"",S755&lt;&gt;"",T755&lt;&gt;"",U755&lt;&gt;"",V755&lt;&gt;"",W755&lt;&gt;"",X755&lt;&gt;"",Y755&lt;&gt;"",AC755="UNIQUE"),"READY","CHECK")))</f>
        <v/>
      </c>
    </row>
    <row r="756">
      <c r="A756" s="25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37" t="n"/>
      <c r="K756" s="34" t="n"/>
      <c r="L756" s="26" t="n"/>
      <c r="M756" s="37" t="n"/>
      <c r="N756" s="37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34" t="n"/>
      <c r="Y756" s="26" t="n"/>
      <c r="Z756" s="26" t="n"/>
      <c r="AA756" s="26" t="n"/>
      <c r="AB756" s="27" t="n"/>
      <c r="AC756" s="32">
        <f>IF(A756="","",IF(COUNTIF($H$5:$H$1004,H756)&gt;1,"DUPLICATE","UNIQUE"))</f>
        <v/>
      </c>
      <c r="AD756" s="32">
        <f>IF(A756="","",IF(AA756="Rejected",IF(AB756&lt;&gt;"","REJECTED","ADD REASON"),IF(AND(B756&lt;&gt;"",C756&lt;&gt;"",D756&lt;&gt;"",E756&lt;&gt;"",F756&lt;&gt;"",G756&lt;&gt;"",H756&lt;&gt;"",J756&lt;&gt;"",K756&lt;&gt;"",L756&lt;&gt;"",M756&lt;&gt;"",N756&lt;&gt;"",O756&lt;&gt;"",P756&lt;&gt;"",Q756&lt;&gt;"",R756&lt;&gt;"",S756&lt;&gt;"",T756&lt;&gt;"",U756&lt;&gt;"",V756&lt;&gt;"",W756&lt;&gt;"",X756&lt;&gt;"",Y756&lt;&gt;"",AC756="UNIQUE"),"READY","CHECK")))</f>
        <v/>
      </c>
    </row>
    <row r="757">
      <c r="A757" s="25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37" t="n"/>
      <c r="K757" s="34" t="n"/>
      <c r="L757" s="26" t="n"/>
      <c r="M757" s="37" t="n"/>
      <c r="N757" s="37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34" t="n"/>
      <c r="Y757" s="26" t="n"/>
      <c r="Z757" s="26" t="n"/>
      <c r="AA757" s="26" t="n"/>
      <c r="AB757" s="27" t="n"/>
      <c r="AC757" s="32">
        <f>IF(A757="","",IF(COUNTIF($H$5:$H$1004,H757)&gt;1,"DUPLICATE","UNIQUE"))</f>
        <v/>
      </c>
      <c r="AD757" s="32">
        <f>IF(A757="","",IF(AA757="Rejected",IF(AB757&lt;&gt;"","REJECTED","ADD REASON"),IF(AND(B757&lt;&gt;"",C757&lt;&gt;"",D757&lt;&gt;"",E757&lt;&gt;"",F757&lt;&gt;"",G757&lt;&gt;"",H757&lt;&gt;"",J757&lt;&gt;"",K757&lt;&gt;"",L757&lt;&gt;"",M757&lt;&gt;"",N757&lt;&gt;"",O757&lt;&gt;"",P757&lt;&gt;"",Q757&lt;&gt;"",R757&lt;&gt;"",S757&lt;&gt;"",T757&lt;&gt;"",U757&lt;&gt;"",V757&lt;&gt;"",W757&lt;&gt;"",X757&lt;&gt;"",Y757&lt;&gt;"",AC757="UNIQUE"),"READY","CHECK")))</f>
        <v/>
      </c>
    </row>
    <row r="758">
      <c r="A758" s="25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37" t="n"/>
      <c r="K758" s="34" t="n"/>
      <c r="L758" s="26" t="n"/>
      <c r="M758" s="37" t="n"/>
      <c r="N758" s="37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34" t="n"/>
      <c r="Y758" s="26" t="n"/>
      <c r="Z758" s="26" t="n"/>
      <c r="AA758" s="26" t="n"/>
      <c r="AB758" s="27" t="n"/>
      <c r="AC758" s="32">
        <f>IF(A758="","",IF(COUNTIF($H$5:$H$1004,H758)&gt;1,"DUPLICATE","UNIQUE"))</f>
        <v/>
      </c>
      <c r="AD758" s="32">
        <f>IF(A758="","",IF(AA758="Rejected",IF(AB758&lt;&gt;"","REJECTED","ADD REASON"),IF(AND(B758&lt;&gt;"",C758&lt;&gt;"",D758&lt;&gt;"",E758&lt;&gt;"",F758&lt;&gt;"",G758&lt;&gt;"",H758&lt;&gt;"",J758&lt;&gt;"",K758&lt;&gt;"",L758&lt;&gt;"",M758&lt;&gt;"",N758&lt;&gt;"",O758&lt;&gt;"",P758&lt;&gt;"",Q758&lt;&gt;"",R758&lt;&gt;"",S758&lt;&gt;"",T758&lt;&gt;"",U758&lt;&gt;"",V758&lt;&gt;"",W758&lt;&gt;"",X758&lt;&gt;"",Y758&lt;&gt;"",AC758="UNIQUE"),"READY","CHECK")))</f>
        <v/>
      </c>
    </row>
    <row r="759">
      <c r="A759" s="25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37" t="n"/>
      <c r="K759" s="34" t="n"/>
      <c r="L759" s="26" t="n"/>
      <c r="M759" s="37" t="n"/>
      <c r="N759" s="37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34" t="n"/>
      <c r="Y759" s="26" t="n"/>
      <c r="Z759" s="26" t="n"/>
      <c r="AA759" s="26" t="n"/>
      <c r="AB759" s="27" t="n"/>
      <c r="AC759" s="32">
        <f>IF(A759="","",IF(COUNTIF($H$5:$H$1004,H759)&gt;1,"DUPLICATE","UNIQUE"))</f>
        <v/>
      </c>
      <c r="AD759" s="32">
        <f>IF(A759="","",IF(AA759="Rejected",IF(AB759&lt;&gt;"","REJECTED","ADD REASON"),IF(AND(B759&lt;&gt;"",C759&lt;&gt;"",D759&lt;&gt;"",E759&lt;&gt;"",F759&lt;&gt;"",G759&lt;&gt;"",H759&lt;&gt;"",J759&lt;&gt;"",K759&lt;&gt;"",L759&lt;&gt;"",M759&lt;&gt;"",N759&lt;&gt;"",O759&lt;&gt;"",P759&lt;&gt;"",Q759&lt;&gt;"",R759&lt;&gt;"",S759&lt;&gt;"",T759&lt;&gt;"",U759&lt;&gt;"",V759&lt;&gt;"",W759&lt;&gt;"",X759&lt;&gt;"",Y759&lt;&gt;"",AC759="UNIQUE"),"READY","CHECK")))</f>
        <v/>
      </c>
    </row>
    <row r="760">
      <c r="A760" s="25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37" t="n"/>
      <c r="K760" s="34" t="n"/>
      <c r="L760" s="26" t="n"/>
      <c r="M760" s="37" t="n"/>
      <c r="N760" s="37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34" t="n"/>
      <c r="Y760" s="26" t="n"/>
      <c r="Z760" s="26" t="n"/>
      <c r="AA760" s="26" t="n"/>
      <c r="AB760" s="27" t="n"/>
      <c r="AC760" s="32">
        <f>IF(A760="","",IF(COUNTIF($H$5:$H$1004,H760)&gt;1,"DUPLICATE","UNIQUE"))</f>
        <v/>
      </c>
      <c r="AD760" s="32">
        <f>IF(A760="","",IF(AA760="Rejected",IF(AB760&lt;&gt;"","REJECTED","ADD REASON"),IF(AND(B760&lt;&gt;"",C760&lt;&gt;"",D760&lt;&gt;"",E760&lt;&gt;"",F760&lt;&gt;"",G760&lt;&gt;"",H760&lt;&gt;"",J760&lt;&gt;"",K760&lt;&gt;"",L760&lt;&gt;"",M760&lt;&gt;"",N760&lt;&gt;"",O760&lt;&gt;"",P760&lt;&gt;"",Q760&lt;&gt;"",R760&lt;&gt;"",S760&lt;&gt;"",T760&lt;&gt;"",U760&lt;&gt;"",V760&lt;&gt;"",W760&lt;&gt;"",X760&lt;&gt;"",Y760&lt;&gt;"",AC760="UNIQUE"),"READY","CHECK")))</f>
        <v/>
      </c>
    </row>
    <row r="761">
      <c r="A761" s="25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37" t="n"/>
      <c r="K761" s="34" t="n"/>
      <c r="L761" s="26" t="n"/>
      <c r="M761" s="37" t="n"/>
      <c r="N761" s="37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34" t="n"/>
      <c r="Y761" s="26" t="n"/>
      <c r="Z761" s="26" t="n"/>
      <c r="AA761" s="26" t="n"/>
      <c r="AB761" s="27" t="n"/>
      <c r="AC761" s="32">
        <f>IF(A761="","",IF(COUNTIF($H$5:$H$1004,H761)&gt;1,"DUPLICATE","UNIQUE"))</f>
        <v/>
      </c>
      <c r="AD761" s="32">
        <f>IF(A761="","",IF(AA761="Rejected",IF(AB761&lt;&gt;"","REJECTED","ADD REASON"),IF(AND(B761&lt;&gt;"",C761&lt;&gt;"",D761&lt;&gt;"",E761&lt;&gt;"",F761&lt;&gt;"",G761&lt;&gt;"",H761&lt;&gt;"",J761&lt;&gt;"",K761&lt;&gt;"",L761&lt;&gt;"",M761&lt;&gt;"",N761&lt;&gt;"",O761&lt;&gt;"",P761&lt;&gt;"",Q761&lt;&gt;"",R761&lt;&gt;"",S761&lt;&gt;"",T761&lt;&gt;"",U761&lt;&gt;"",V761&lt;&gt;"",W761&lt;&gt;"",X761&lt;&gt;"",Y761&lt;&gt;"",AC761="UNIQUE"),"READY","CHECK")))</f>
        <v/>
      </c>
    </row>
    <row r="762">
      <c r="A762" s="25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37" t="n"/>
      <c r="K762" s="34" t="n"/>
      <c r="L762" s="26" t="n"/>
      <c r="M762" s="37" t="n"/>
      <c r="N762" s="37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34" t="n"/>
      <c r="Y762" s="26" t="n"/>
      <c r="Z762" s="26" t="n"/>
      <c r="AA762" s="26" t="n"/>
      <c r="AB762" s="27" t="n"/>
      <c r="AC762" s="32">
        <f>IF(A762="","",IF(COUNTIF($H$5:$H$1004,H762)&gt;1,"DUPLICATE","UNIQUE"))</f>
        <v/>
      </c>
      <c r="AD762" s="32">
        <f>IF(A762="","",IF(AA762="Rejected",IF(AB762&lt;&gt;"","REJECTED","ADD REASON"),IF(AND(B762&lt;&gt;"",C762&lt;&gt;"",D762&lt;&gt;"",E762&lt;&gt;"",F762&lt;&gt;"",G762&lt;&gt;"",H762&lt;&gt;"",J762&lt;&gt;"",K762&lt;&gt;"",L762&lt;&gt;"",M762&lt;&gt;"",N762&lt;&gt;"",O762&lt;&gt;"",P762&lt;&gt;"",Q762&lt;&gt;"",R762&lt;&gt;"",S762&lt;&gt;"",T762&lt;&gt;"",U762&lt;&gt;"",V762&lt;&gt;"",W762&lt;&gt;"",X762&lt;&gt;"",Y762&lt;&gt;"",AC762="UNIQUE"),"READY","CHECK")))</f>
        <v/>
      </c>
    </row>
    <row r="763">
      <c r="A763" s="25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37" t="n"/>
      <c r="K763" s="34" t="n"/>
      <c r="L763" s="26" t="n"/>
      <c r="M763" s="37" t="n"/>
      <c r="N763" s="37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34" t="n"/>
      <c r="Y763" s="26" t="n"/>
      <c r="Z763" s="26" t="n"/>
      <c r="AA763" s="26" t="n"/>
      <c r="AB763" s="27" t="n"/>
      <c r="AC763" s="32">
        <f>IF(A763="","",IF(COUNTIF($H$5:$H$1004,H763)&gt;1,"DUPLICATE","UNIQUE"))</f>
        <v/>
      </c>
      <c r="AD763" s="32">
        <f>IF(A763="","",IF(AA763="Rejected",IF(AB763&lt;&gt;"","REJECTED","ADD REASON"),IF(AND(B763&lt;&gt;"",C763&lt;&gt;"",D763&lt;&gt;"",E763&lt;&gt;"",F763&lt;&gt;"",G763&lt;&gt;"",H763&lt;&gt;"",J763&lt;&gt;"",K763&lt;&gt;"",L763&lt;&gt;"",M763&lt;&gt;"",N763&lt;&gt;"",O763&lt;&gt;"",P763&lt;&gt;"",Q763&lt;&gt;"",R763&lt;&gt;"",S763&lt;&gt;"",T763&lt;&gt;"",U763&lt;&gt;"",V763&lt;&gt;"",W763&lt;&gt;"",X763&lt;&gt;"",Y763&lt;&gt;"",AC763="UNIQUE"),"READY","CHECK")))</f>
        <v/>
      </c>
    </row>
    <row r="764">
      <c r="A764" s="25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37" t="n"/>
      <c r="K764" s="34" t="n"/>
      <c r="L764" s="26" t="n"/>
      <c r="M764" s="37" t="n"/>
      <c r="N764" s="37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34" t="n"/>
      <c r="Y764" s="26" t="n"/>
      <c r="Z764" s="26" t="n"/>
      <c r="AA764" s="26" t="n"/>
      <c r="AB764" s="27" t="n"/>
      <c r="AC764" s="32">
        <f>IF(A764="","",IF(COUNTIF($H$5:$H$1004,H764)&gt;1,"DUPLICATE","UNIQUE"))</f>
        <v/>
      </c>
      <c r="AD764" s="32">
        <f>IF(A764="","",IF(AA764="Rejected",IF(AB764&lt;&gt;"","REJECTED","ADD REASON"),IF(AND(B764&lt;&gt;"",C764&lt;&gt;"",D764&lt;&gt;"",E764&lt;&gt;"",F764&lt;&gt;"",G764&lt;&gt;"",H764&lt;&gt;"",J764&lt;&gt;"",K764&lt;&gt;"",L764&lt;&gt;"",M764&lt;&gt;"",N764&lt;&gt;"",O764&lt;&gt;"",P764&lt;&gt;"",Q764&lt;&gt;"",R764&lt;&gt;"",S764&lt;&gt;"",T764&lt;&gt;"",U764&lt;&gt;"",V764&lt;&gt;"",W764&lt;&gt;"",X764&lt;&gt;"",Y764&lt;&gt;"",AC764="UNIQUE"),"READY","CHECK")))</f>
        <v/>
      </c>
    </row>
    <row r="765">
      <c r="A765" s="25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37" t="n"/>
      <c r="K765" s="34" t="n"/>
      <c r="L765" s="26" t="n"/>
      <c r="M765" s="37" t="n"/>
      <c r="N765" s="37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34" t="n"/>
      <c r="Y765" s="26" t="n"/>
      <c r="Z765" s="26" t="n"/>
      <c r="AA765" s="26" t="n"/>
      <c r="AB765" s="27" t="n"/>
      <c r="AC765" s="32">
        <f>IF(A765="","",IF(COUNTIF($H$5:$H$1004,H765)&gt;1,"DUPLICATE","UNIQUE"))</f>
        <v/>
      </c>
      <c r="AD765" s="32">
        <f>IF(A765="","",IF(AA765="Rejected",IF(AB765&lt;&gt;"","REJECTED","ADD REASON"),IF(AND(B765&lt;&gt;"",C765&lt;&gt;"",D765&lt;&gt;"",E765&lt;&gt;"",F765&lt;&gt;"",G765&lt;&gt;"",H765&lt;&gt;"",J765&lt;&gt;"",K765&lt;&gt;"",L765&lt;&gt;"",M765&lt;&gt;"",N765&lt;&gt;"",O765&lt;&gt;"",P765&lt;&gt;"",Q765&lt;&gt;"",R765&lt;&gt;"",S765&lt;&gt;"",T765&lt;&gt;"",U765&lt;&gt;"",V765&lt;&gt;"",W765&lt;&gt;"",X765&lt;&gt;"",Y765&lt;&gt;"",AC765="UNIQUE"),"READY","CHECK")))</f>
        <v/>
      </c>
    </row>
    <row r="766">
      <c r="A766" s="25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37" t="n"/>
      <c r="K766" s="34" t="n"/>
      <c r="L766" s="26" t="n"/>
      <c r="M766" s="37" t="n"/>
      <c r="N766" s="37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34" t="n"/>
      <c r="Y766" s="26" t="n"/>
      <c r="Z766" s="26" t="n"/>
      <c r="AA766" s="26" t="n"/>
      <c r="AB766" s="27" t="n"/>
      <c r="AC766" s="32">
        <f>IF(A766="","",IF(COUNTIF($H$5:$H$1004,H766)&gt;1,"DUPLICATE","UNIQUE"))</f>
        <v/>
      </c>
      <c r="AD766" s="32">
        <f>IF(A766="","",IF(AA766="Rejected",IF(AB766&lt;&gt;"","REJECTED","ADD REASON"),IF(AND(B766&lt;&gt;"",C766&lt;&gt;"",D766&lt;&gt;"",E766&lt;&gt;"",F766&lt;&gt;"",G766&lt;&gt;"",H766&lt;&gt;"",J766&lt;&gt;"",K766&lt;&gt;"",L766&lt;&gt;"",M766&lt;&gt;"",N766&lt;&gt;"",O766&lt;&gt;"",P766&lt;&gt;"",Q766&lt;&gt;"",R766&lt;&gt;"",S766&lt;&gt;"",T766&lt;&gt;"",U766&lt;&gt;"",V766&lt;&gt;"",W766&lt;&gt;"",X766&lt;&gt;"",Y766&lt;&gt;"",AC766="UNIQUE"),"READY","CHECK")))</f>
        <v/>
      </c>
    </row>
    <row r="767">
      <c r="A767" s="25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37" t="n"/>
      <c r="K767" s="34" t="n"/>
      <c r="L767" s="26" t="n"/>
      <c r="M767" s="37" t="n"/>
      <c r="N767" s="37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34" t="n"/>
      <c r="Y767" s="26" t="n"/>
      <c r="Z767" s="26" t="n"/>
      <c r="AA767" s="26" t="n"/>
      <c r="AB767" s="27" t="n"/>
      <c r="AC767" s="32">
        <f>IF(A767="","",IF(COUNTIF($H$5:$H$1004,H767)&gt;1,"DUPLICATE","UNIQUE"))</f>
        <v/>
      </c>
      <c r="AD767" s="32">
        <f>IF(A767="","",IF(AA767="Rejected",IF(AB767&lt;&gt;"","REJECTED","ADD REASON"),IF(AND(B767&lt;&gt;"",C767&lt;&gt;"",D767&lt;&gt;"",E767&lt;&gt;"",F767&lt;&gt;"",G767&lt;&gt;"",H767&lt;&gt;"",J767&lt;&gt;"",K767&lt;&gt;"",L767&lt;&gt;"",M767&lt;&gt;"",N767&lt;&gt;"",O767&lt;&gt;"",P767&lt;&gt;"",Q767&lt;&gt;"",R767&lt;&gt;"",S767&lt;&gt;"",T767&lt;&gt;"",U767&lt;&gt;"",V767&lt;&gt;"",W767&lt;&gt;"",X767&lt;&gt;"",Y767&lt;&gt;"",AC767="UNIQUE"),"READY","CHECK")))</f>
        <v/>
      </c>
    </row>
    <row r="768">
      <c r="A768" s="25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37" t="n"/>
      <c r="K768" s="34" t="n"/>
      <c r="L768" s="26" t="n"/>
      <c r="M768" s="37" t="n"/>
      <c r="N768" s="37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34" t="n"/>
      <c r="Y768" s="26" t="n"/>
      <c r="Z768" s="26" t="n"/>
      <c r="AA768" s="26" t="n"/>
      <c r="AB768" s="27" t="n"/>
      <c r="AC768" s="32">
        <f>IF(A768="","",IF(COUNTIF($H$5:$H$1004,H768)&gt;1,"DUPLICATE","UNIQUE"))</f>
        <v/>
      </c>
      <c r="AD768" s="32">
        <f>IF(A768="","",IF(AA768="Rejected",IF(AB768&lt;&gt;"","REJECTED","ADD REASON"),IF(AND(B768&lt;&gt;"",C768&lt;&gt;"",D768&lt;&gt;"",E768&lt;&gt;"",F768&lt;&gt;"",G768&lt;&gt;"",H768&lt;&gt;"",J768&lt;&gt;"",K768&lt;&gt;"",L768&lt;&gt;"",M768&lt;&gt;"",N768&lt;&gt;"",O768&lt;&gt;"",P768&lt;&gt;"",Q768&lt;&gt;"",R768&lt;&gt;"",S768&lt;&gt;"",T768&lt;&gt;"",U768&lt;&gt;"",V768&lt;&gt;"",W768&lt;&gt;"",X768&lt;&gt;"",Y768&lt;&gt;"",AC768="UNIQUE"),"READY","CHECK")))</f>
        <v/>
      </c>
    </row>
    <row r="769">
      <c r="A769" s="25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37" t="n"/>
      <c r="K769" s="34" t="n"/>
      <c r="L769" s="26" t="n"/>
      <c r="M769" s="37" t="n"/>
      <c r="N769" s="37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34" t="n"/>
      <c r="Y769" s="26" t="n"/>
      <c r="Z769" s="26" t="n"/>
      <c r="AA769" s="26" t="n"/>
      <c r="AB769" s="27" t="n"/>
      <c r="AC769" s="32">
        <f>IF(A769="","",IF(COUNTIF($H$5:$H$1004,H769)&gt;1,"DUPLICATE","UNIQUE"))</f>
        <v/>
      </c>
      <c r="AD769" s="32">
        <f>IF(A769="","",IF(AA769="Rejected",IF(AB769&lt;&gt;"","REJECTED","ADD REASON"),IF(AND(B769&lt;&gt;"",C769&lt;&gt;"",D769&lt;&gt;"",E769&lt;&gt;"",F769&lt;&gt;"",G769&lt;&gt;"",H769&lt;&gt;"",J769&lt;&gt;"",K769&lt;&gt;"",L769&lt;&gt;"",M769&lt;&gt;"",N769&lt;&gt;"",O769&lt;&gt;"",P769&lt;&gt;"",Q769&lt;&gt;"",R769&lt;&gt;"",S769&lt;&gt;"",T769&lt;&gt;"",U769&lt;&gt;"",V769&lt;&gt;"",W769&lt;&gt;"",X769&lt;&gt;"",Y769&lt;&gt;"",AC769="UNIQUE"),"READY","CHECK")))</f>
        <v/>
      </c>
    </row>
    <row r="770">
      <c r="A770" s="25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37" t="n"/>
      <c r="K770" s="34" t="n"/>
      <c r="L770" s="26" t="n"/>
      <c r="M770" s="37" t="n"/>
      <c r="N770" s="37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34" t="n"/>
      <c r="Y770" s="26" t="n"/>
      <c r="Z770" s="26" t="n"/>
      <c r="AA770" s="26" t="n"/>
      <c r="AB770" s="27" t="n"/>
      <c r="AC770" s="32">
        <f>IF(A770="","",IF(COUNTIF($H$5:$H$1004,H770)&gt;1,"DUPLICATE","UNIQUE"))</f>
        <v/>
      </c>
      <c r="AD770" s="32">
        <f>IF(A770="","",IF(AA770="Rejected",IF(AB770&lt;&gt;"","REJECTED","ADD REASON"),IF(AND(B770&lt;&gt;"",C770&lt;&gt;"",D770&lt;&gt;"",E770&lt;&gt;"",F770&lt;&gt;"",G770&lt;&gt;"",H770&lt;&gt;"",J770&lt;&gt;"",K770&lt;&gt;"",L770&lt;&gt;"",M770&lt;&gt;"",N770&lt;&gt;"",O770&lt;&gt;"",P770&lt;&gt;"",Q770&lt;&gt;"",R770&lt;&gt;"",S770&lt;&gt;"",T770&lt;&gt;"",U770&lt;&gt;"",V770&lt;&gt;"",W770&lt;&gt;"",X770&lt;&gt;"",Y770&lt;&gt;"",AC770="UNIQUE"),"READY","CHECK")))</f>
        <v/>
      </c>
    </row>
    <row r="771">
      <c r="A771" s="25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37" t="n"/>
      <c r="K771" s="34" t="n"/>
      <c r="L771" s="26" t="n"/>
      <c r="M771" s="37" t="n"/>
      <c r="N771" s="37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34" t="n"/>
      <c r="Y771" s="26" t="n"/>
      <c r="Z771" s="26" t="n"/>
      <c r="AA771" s="26" t="n"/>
      <c r="AB771" s="27" t="n"/>
      <c r="AC771" s="32">
        <f>IF(A771="","",IF(COUNTIF($H$5:$H$1004,H771)&gt;1,"DUPLICATE","UNIQUE"))</f>
        <v/>
      </c>
      <c r="AD771" s="32">
        <f>IF(A771="","",IF(AA771="Rejected",IF(AB771&lt;&gt;"","REJECTED","ADD REASON"),IF(AND(B771&lt;&gt;"",C771&lt;&gt;"",D771&lt;&gt;"",E771&lt;&gt;"",F771&lt;&gt;"",G771&lt;&gt;"",H771&lt;&gt;"",J771&lt;&gt;"",K771&lt;&gt;"",L771&lt;&gt;"",M771&lt;&gt;"",N771&lt;&gt;"",O771&lt;&gt;"",P771&lt;&gt;"",Q771&lt;&gt;"",R771&lt;&gt;"",S771&lt;&gt;"",T771&lt;&gt;"",U771&lt;&gt;"",V771&lt;&gt;"",W771&lt;&gt;"",X771&lt;&gt;"",Y771&lt;&gt;"",AC771="UNIQUE"),"READY","CHECK")))</f>
        <v/>
      </c>
    </row>
    <row r="772">
      <c r="A772" s="25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37" t="n"/>
      <c r="K772" s="34" t="n"/>
      <c r="L772" s="26" t="n"/>
      <c r="M772" s="37" t="n"/>
      <c r="N772" s="37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34" t="n"/>
      <c r="Y772" s="26" t="n"/>
      <c r="Z772" s="26" t="n"/>
      <c r="AA772" s="26" t="n"/>
      <c r="AB772" s="27" t="n"/>
      <c r="AC772" s="32">
        <f>IF(A772="","",IF(COUNTIF($H$5:$H$1004,H772)&gt;1,"DUPLICATE","UNIQUE"))</f>
        <v/>
      </c>
      <c r="AD772" s="32">
        <f>IF(A772="","",IF(AA772="Rejected",IF(AB772&lt;&gt;"","REJECTED","ADD REASON"),IF(AND(B772&lt;&gt;"",C772&lt;&gt;"",D772&lt;&gt;"",E772&lt;&gt;"",F772&lt;&gt;"",G772&lt;&gt;"",H772&lt;&gt;"",J772&lt;&gt;"",K772&lt;&gt;"",L772&lt;&gt;"",M772&lt;&gt;"",N772&lt;&gt;"",O772&lt;&gt;"",P772&lt;&gt;"",Q772&lt;&gt;"",R772&lt;&gt;"",S772&lt;&gt;"",T772&lt;&gt;"",U772&lt;&gt;"",V772&lt;&gt;"",W772&lt;&gt;"",X772&lt;&gt;"",Y772&lt;&gt;"",AC772="UNIQUE"),"READY","CHECK")))</f>
        <v/>
      </c>
    </row>
    <row r="773">
      <c r="A773" s="25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37" t="n"/>
      <c r="K773" s="34" t="n"/>
      <c r="L773" s="26" t="n"/>
      <c r="M773" s="37" t="n"/>
      <c r="N773" s="37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34" t="n"/>
      <c r="Y773" s="26" t="n"/>
      <c r="Z773" s="26" t="n"/>
      <c r="AA773" s="26" t="n"/>
      <c r="AB773" s="27" t="n"/>
      <c r="AC773" s="32">
        <f>IF(A773="","",IF(COUNTIF($H$5:$H$1004,H773)&gt;1,"DUPLICATE","UNIQUE"))</f>
        <v/>
      </c>
      <c r="AD773" s="32">
        <f>IF(A773="","",IF(AA773="Rejected",IF(AB773&lt;&gt;"","REJECTED","ADD REASON"),IF(AND(B773&lt;&gt;"",C773&lt;&gt;"",D773&lt;&gt;"",E773&lt;&gt;"",F773&lt;&gt;"",G773&lt;&gt;"",H773&lt;&gt;"",J773&lt;&gt;"",K773&lt;&gt;"",L773&lt;&gt;"",M773&lt;&gt;"",N773&lt;&gt;"",O773&lt;&gt;"",P773&lt;&gt;"",Q773&lt;&gt;"",R773&lt;&gt;"",S773&lt;&gt;"",T773&lt;&gt;"",U773&lt;&gt;"",V773&lt;&gt;"",W773&lt;&gt;"",X773&lt;&gt;"",Y773&lt;&gt;"",AC773="UNIQUE"),"READY","CHECK")))</f>
        <v/>
      </c>
    </row>
    <row r="774">
      <c r="A774" s="25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37" t="n"/>
      <c r="K774" s="34" t="n"/>
      <c r="L774" s="26" t="n"/>
      <c r="M774" s="37" t="n"/>
      <c r="N774" s="37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34" t="n"/>
      <c r="Y774" s="26" t="n"/>
      <c r="Z774" s="26" t="n"/>
      <c r="AA774" s="26" t="n"/>
      <c r="AB774" s="27" t="n"/>
      <c r="AC774" s="32">
        <f>IF(A774="","",IF(COUNTIF($H$5:$H$1004,H774)&gt;1,"DUPLICATE","UNIQUE"))</f>
        <v/>
      </c>
      <c r="AD774" s="32">
        <f>IF(A774="","",IF(AA774="Rejected",IF(AB774&lt;&gt;"","REJECTED","ADD REASON"),IF(AND(B774&lt;&gt;"",C774&lt;&gt;"",D774&lt;&gt;"",E774&lt;&gt;"",F774&lt;&gt;"",G774&lt;&gt;"",H774&lt;&gt;"",J774&lt;&gt;"",K774&lt;&gt;"",L774&lt;&gt;"",M774&lt;&gt;"",N774&lt;&gt;"",O774&lt;&gt;"",P774&lt;&gt;"",Q774&lt;&gt;"",R774&lt;&gt;"",S774&lt;&gt;"",T774&lt;&gt;"",U774&lt;&gt;"",V774&lt;&gt;"",W774&lt;&gt;"",X774&lt;&gt;"",Y774&lt;&gt;"",AC774="UNIQUE"),"READY","CHECK")))</f>
        <v/>
      </c>
    </row>
    <row r="775">
      <c r="A775" s="25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37" t="n"/>
      <c r="K775" s="34" t="n"/>
      <c r="L775" s="26" t="n"/>
      <c r="M775" s="37" t="n"/>
      <c r="N775" s="37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34" t="n"/>
      <c r="Y775" s="26" t="n"/>
      <c r="Z775" s="26" t="n"/>
      <c r="AA775" s="26" t="n"/>
      <c r="AB775" s="27" t="n"/>
      <c r="AC775" s="32">
        <f>IF(A775="","",IF(COUNTIF($H$5:$H$1004,H775)&gt;1,"DUPLICATE","UNIQUE"))</f>
        <v/>
      </c>
      <c r="AD775" s="32">
        <f>IF(A775="","",IF(AA775="Rejected",IF(AB775&lt;&gt;"","REJECTED","ADD REASON"),IF(AND(B775&lt;&gt;"",C775&lt;&gt;"",D775&lt;&gt;"",E775&lt;&gt;"",F775&lt;&gt;"",G775&lt;&gt;"",H775&lt;&gt;"",J775&lt;&gt;"",K775&lt;&gt;"",L775&lt;&gt;"",M775&lt;&gt;"",N775&lt;&gt;"",O775&lt;&gt;"",P775&lt;&gt;"",Q775&lt;&gt;"",R775&lt;&gt;"",S775&lt;&gt;"",T775&lt;&gt;"",U775&lt;&gt;"",V775&lt;&gt;"",W775&lt;&gt;"",X775&lt;&gt;"",Y775&lt;&gt;"",AC775="UNIQUE"),"READY","CHECK")))</f>
        <v/>
      </c>
    </row>
    <row r="776">
      <c r="A776" s="25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37" t="n"/>
      <c r="K776" s="34" t="n"/>
      <c r="L776" s="26" t="n"/>
      <c r="M776" s="37" t="n"/>
      <c r="N776" s="37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34" t="n"/>
      <c r="Y776" s="26" t="n"/>
      <c r="Z776" s="26" t="n"/>
      <c r="AA776" s="26" t="n"/>
      <c r="AB776" s="27" t="n"/>
      <c r="AC776" s="32">
        <f>IF(A776="","",IF(COUNTIF($H$5:$H$1004,H776)&gt;1,"DUPLICATE","UNIQUE"))</f>
        <v/>
      </c>
      <c r="AD776" s="32">
        <f>IF(A776="","",IF(AA776="Rejected",IF(AB776&lt;&gt;"","REJECTED","ADD REASON"),IF(AND(B776&lt;&gt;"",C776&lt;&gt;"",D776&lt;&gt;"",E776&lt;&gt;"",F776&lt;&gt;"",G776&lt;&gt;"",H776&lt;&gt;"",J776&lt;&gt;"",K776&lt;&gt;"",L776&lt;&gt;"",M776&lt;&gt;"",N776&lt;&gt;"",O776&lt;&gt;"",P776&lt;&gt;"",Q776&lt;&gt;"",R776&lt;&gt;"",S776&lt;&gt;"",T776&lt;&gt;"",U776&lt;&gt;"",V776&lt;&gt;"",W776&lt;&gt;"",X776&lt;&gt;"",Y776&lt;&gt;"",AC776="UNIQUE"),"READY","CHECK")))</f>
        <v/>
      </c>
    </row>
    <row r="777">
      <c r="A777" s="25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37" t="n"/>
      <c r="K777" s="34" t="n"/>
      <c r="L777" s="26" t="n"/>
      <c r="M777" s="37" t="n"/>
      <c r="N777" s="37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34" t="n"/>
      <c r="Y777" s="26" t="n"/>
      <c r="Z777" s="26" t="n"/>
      <c r="AA777" s="26" t="n"/>
      <c r="AB777" s="27" t="n"/>
      <c r="AC777" s="32">
        <f>IF(A777="","",IF(COUNTIF($H$5:$H$1004,H777)&gt;1,"DUPLICATE","UNIQUE"))</f>
        <v/>
      </c>
      <c r="AD777" s="32">
        <f>IF(A777="","",IF(AA777="Rejected",IF(AB777&lt;&gt;"","REJECTED","ADD REASON"),IF(AND(B777&lt;&gt;"",C777&lt;&gt;"",D777&lt;&gt;"",E777&lt;&gt;"",F777&lt;&gt;"",G777&lt;&gt;"",H777&lt;&gt;"",J777&lt;&gt;"",K777&lt;&gt;"",L777&lt;&gt;"",M777&lt;&gt;"",N777&lt;&gt;"",O777&lt;&gt;"",P777&lt;&gt;"",Q777&lt;&gt;"",R777&lt;&gt;"",S777&lt;&gt;"",T777&lt;&gt;"",U777&lt;&gt;"",V777&lt;&gt;"",W777&lt;&gt;"",X777&lt;&gt;"",Y777&lt;&gt;"",AC777="UNIQUE"),"READY","CHECK")))</f>
        <v/>
      </c>
    </row>
    <row r="778">
      <c r="A778" s="25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37" t="n"/>
      <c r="K778" s="34" t="n"/>
      <c r="L778" s="26" t="n"/>
      <c r="M778" s="37" t="n"/>
      <c r="N778" s="37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34" t="n"/>
      <c r="Y778" s="26" t="n"/>
      <c r="Z778" s="26" t="n"/>
      <c r="AA778" s="26" t="n"/>
      <c r="AB778" s="27" t="n"/>
      <c r="AC778" s="32">
        <f>IF(A778="","",IF(COUNTIF($H$5:$H$1004,H778)&gt;1,"DUPLICATE","UNIQUE"))</f>
        <v/>
      </c>
      <c r="AD778" s="32">
        <f>IF(A778="","",IF(AA778="Rejected",IF(AB778&lt;&gt;"","REJECTED","ADD REASON"),IF(AND(B778&lt;&gt;"",C778&lt;&gt;"",D778&lt;&gt;"",E778&lt;&gt;"",F778&lt;&gt;"",G778&lt;&gt;"",H778&lt;&gt;"",J778&lt;&gt;"",K778&lt;&gt;"",L778&lt;&gt;"",M778&lt;&gt;"",N778&lt;&gt;"",O778&lt;&gt;"",P778&lt;&gt;"",Q778&lt;&gt;"",R778&lt;&gt;"",S778&lt;&gt;"",T778&lt;&gt;"",U778&lt;&gt;"",V778&lt;&gt;"",W778&lt;&gt;"",X778&lt;&gt;"",Y778&lt;&gt;"",AC778="UNIQUE"),"READY","CHECK")))</f>
        <v/>
      </c>
    </row>
    <row r="779">
      <c r="A779" s="25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37" t="n"/>
      <c r="K779" s="34" t="n"/>
      <c r="L779" s="26" t="n"/>
      <c r="M779" s="37" t="n"/>
      <c r="N779" s="37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34" t="n"/>
      <c r="Y779" s="26" t="n"/>
      <c r="Z779" s="26" t="n"/>
      <c r="AA779" s="26" t="n"/>
      <c r="AB779" s="27" t="n"/>
      <c r="AC779" s="32">
        <f>IF(A779="","",IF(COUNTIF($H$5:$H$1004,H779)&gt;1,"DUPLICATE","UNIQUE"))</f>
        <v/>
      </c>
      <c r="AD779" s="32">
        <f>IF(A779="","",IF(AA779="Rejected",IF(AB779&lt;&gt;"","REJECTED","ADD REASON"),IF(AND(B779&lt;&gt;"",C779&lt;&gt;"",D779&lt;&gt;"",E779&lt;&gt;"",F779&lt;&gt;"",G779&lt;&gt;"",H779&lt;&gt;"",J779&lt;&gt;"",K779&lt;&gt;"",L779&lt;&gt;"",M779&lt;&gt;"",N779&lt;&gt;"",O779&lt;&gt;"",P779&lt;&gt;"",Q779&lt;&gt;"",R779&lt;&gt;"",S779&lt;&gt;"",T779&lt;&gt;"",U779&lt;&gt;"",V779&lt;&gt;"",W779&lt;&gt;"",X779&lt;&gt;"",Y779&lt;&gt;"",AC779="UNIQUE"),"READY","CHECK")))</f>
        <v/>
      </c>
    </row>
    <row r="780">
      <c r="A780" s="25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37" t="n"/>
      <c r="K780" s="34" t="n"/>
      <c r="L780" s="26" t="n"/>
      <c r="M780" s="37" t="n"/>
      <c r="N780" s="37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34" t="n"/>
      <c r="Y780" s="26" t="n"/>
      <c r="Z780" s="26" t="n"/>
      <c r="AA780" s="26" t="n"/>
      <c r="AB780" s="27" t="n"/>
      <c r="AC780" s="32">
        <f>IF(A780="","",IF(COUNTIF($H$5:$H$1004,H780)&gt;1,"DUPLICATE","UNIQUE"))</f>
        <v/>
      </c>
      <c r="AD780" s="32">
        <f>IF(A780="","",IF(AA780="Rejected",IF(AB780&lt;&gt;"","REJECTED","ADD REASON"),IF(AND(B780&lt;&gt;"",C780&lt;&gt;"",D780&lt;&gt;"",E780&lt;&gt;"",F780&lt;&gt;"",G780&lt;&gt;"",H780&lt;&gt;"",J780&lt;&gt;"",K780&lt;&gt;"",L780&lt;&gt;"",M780&lt;&gt;"",N780&lt;&gt;"",O780&lt;&gt;"",P780&lt;&gt;"",Q780&lt;&gt;"",R780&lt;&gt;"",S780&lt;&gt;"",T780&lt;&gt;"",U780&lt;&gt;"",V780&lt;&gt;"",W780&lt;&gt;"",X780&lt;&gt;"",Y780&lt;&gt;"",AC780="UNIQUE"),"READY","CHECK")))</f>
        <v/>
      </c>
    </row>
    <row r="781">
      <c r="A781" s="25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37" t="n"/>
      <c r="K781" s="34" t="n"/>
      <c r="L781" s="26" t="n"/>
      <c r="M781" s="37" t="n"/>
      <c r="N781" s="37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34" t="n"/>
      <c r="Y781" s="26" t="n"/>
      <c r="Z781" s="26" t="n"/>
      <c r="AA781" s="26" t="n"/>
      <c r="AB781" s="27" t="n"/>
      <c r="AC781" s="32">
        <f>IF(A781="","",IF(COUNTIF($H$5:$H$1004,H781)&gt;1,"DUPLICATE","UNIQUE"))</f>
        <v/>
      </c>
      <c r="AD781" s="32">
        <f>IF(A781="","",IF(AA781="Rejected",IF(AB781&lt;&gt;"","REJECTED","ADD REASON"),IF(AND(B781&lt;&gt;"",C781&lt;&gt;"",D781&lt;&gt;"",E781&lt;&gt;"",F781&lt;&gt;"",G781&lt;&gt;"",H781&lt;&gt;"",J781&lt;&gt;"",K781&lt;&gt;"",L781&lt;&gt;"",M781&lt;&gt;"",N781&lt;&gt;"",O781&lt;&gt;"",P781&lt;&gt;"",Q781&lt;&gt;"",R781&lt;&gt;"",S781&lt;&gt;"",T781&lt;&gt;"",U781&lt;&gt;"",V781&lt;&gt;"",W781&lt;&gt;"",X781&lt;&gt;"",Y781&lt;&gt;"",AC781="UNIQUE"),"READY","CHECK")))</f>
        <v/>
      </c>
    </row>
    <row r="782">
      <c r="A782" s="25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37" t="n"/>
      <c r="K782" s="34" t="n"/>
      <c r="L782" s="26" t="n"/>
      <c r="M782" s="37" t="n"/>
      <c r="N782" s="37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34" t="n"/>
      <c r="Y782" s="26" t="n"/>
      <c r="Z782" s="26" t="n"/>
      <c r="AA782" s="26" t="n"/>
      <c r="AB782" s="27" t="n"/>
      <c r="AC782" s="32">
        <f>IF(A782="","",IF(COUNTIF($H$5:$H$1004,H782)&gt;1,"DUPLICATE","UNIQUE"))</f>
        <v/>
      </c>
      <c r="AD782" s="32">
        <f>IF(A782="","",IF(AA782="Rejected",IF(AB782&lt;&gt;"","REJECTED","ADD REASON"),IF(AND(B782&lt;&gt;"",C782&lt;&gt;"",D782&lt;&gt;"",E782&lt;&gt;"",F782&lt;&gt;"",G782&lt;&gt;"",H782&lt;&gt;"",J782&lt;&gt;"",K782&lt;&gt;"",L782&lt;&gt;"",M782&lt;&gt;"",N782&lt;&gt;"",O782&lt;&gt;"",P782&lt;&gt;"",Q782&lt;&gt;"",R782&lt;&gt;"",S782&lt;&gt;"",T782&lt;&gt;"",U782&lt;&gt;"",V782&lt;&gt;"",W782&lt;&gt;"",X782&lt;&gt;"",Y782&lt;&gt;"",AC782="UNIQUE"),"READY","CHECK")))</f>
        <v/>
      </c>
    </row>
    <row r="783">
      <c r="A783" s="25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37" t="n"/>
      <c r="K783" s="34" t="n"/>
      <c r="L783" s="26" t="n"/>
      <c r="M783" s="37" t="n"/>
      <c r="N783" s="37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34" t="n"/>
      <c r="Y783" s="26" t="n"/>
      <c r="Z783" s="26" t="n"/>
      <c r="AA783" s="26" t="n"/>
      <c r="AB783" s="27" t="n"/>
      <c r="AC783" s="32">
        <f>IF(A783="","",IF(COUNTIF($H$5:$H$1004,H783)&gt;1,"DUPLICATE","UNIQUE"))</f>
        <v/>
      </c>
      <c r="AD783" s="32">
        <f>IF(A783="","",IF(AA783="Rejected",IF(AB783&lt;&gt;"","REJECTED","ADD REASON"),IF(AND(B783&lt;&gt;"",C783&lt;&gt;"",D783&lt;&gt;"",E783&lt;&gt;"",F783&lt;&gt;"",G783&lt;&gt;"",H783&lt;&gt;"",J783&lt;&gt;"",K783&lt;&gt;"",L783&lt;&gt;"",M783&lt;&gt;"",N783&lt;&gt;"",O783&lt;&gt;"",P783&lt;&gt;"",Q783&lt;&gt;"",R783&lt;&gt;"",S783&lt;&gt;"",T783&lt;&gt;"",U783&lt;&gt;"",V783&lt;&gt;"",W783&lt;&gt;"",X783&lt;&gt;"",Y783&lt;&gt;"",AC783="UNIQUE"),"READY","CHECK")))</f>
        <v/>
      </c>
    </row>
    <row r="784">
      <c r="A784" s="25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37" t="n"/>
      <c r="K784" s="34" t="n"/>
      <c r="L784" s="26" t="n"/>
      <c r="M784" s="37" t="n"/>
      <c r="N784" s="37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34" t="n"/>
      <c r="Y784" s="26" t="n"/>
      <c r="Z784" s="26" t="n"/>
      <c r="AA784" s="26" t="n"/>
      <c r="AB784" s="27" t="n"/>
      <c r="AC784" s="32">
        <f>IF(A784="","",IF(COUNTIF($H$5:$H$1004,H784)&gt;1,"DUPLICATE","UNIQUE"))</f>
        <v/>
      </c>
      <c r="AD784" s="32">
        <f>IF(A784="","",IF(AA784="Rejected",IF(AB784&lt;&gt;"","REJECTED","ADD REASON"),IF(AND(B784&lt;&gt;"",C784&lt;&gt;"",D784&lt;&gt;"",E784&lt;&gt;"",F784&lt;&gt;"",G784&lt;&gt;"",H784&lt;&gt;"",J784&lt;&gt;"",K784&lt;&gt;"",L784&lt;&gt;"",M784&lt;&gt;"",N784&lt;&gt;"",O784&lt;&gt;"",P784&lt;&gt;"",Q784&lt;&gt;"",R784&lt;&gt;"",S784&lt;&gt;"",T784&lt;&gt;"",U784&lt;&gt;"",V784&lt;&gt;"",W784&lt;&gt;"",X784&lt;&gt;"",Y784&lt;&gt;"",AC784="UNIQUE"),"READY","CHECK")))</f>
        <v/>
      </c>
    </row>
    <row r="785">
      <c r="A785" s="25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37" t="n"/>
      <c r="K785" s="34" t="n"/>
      <c r="L785" s="26" t="n"/>
      <c r="M785" s="37" t="n"/>
      <c r="N785" s="37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34" t="n"/>
      <c r="Y785" s="26" t="n"/>
      <c r="Z785" s="26" t="n"/>
      <c r="AA785" s="26" t="n"/>
      <c r="AB785" s="27" t="n"/>
      <c r="AC785" s="32">
        <f>IF(A785="","",IF(COUNTIF($H$5:$H$1004,H785)&gt;1,"DUPLICATE","UNIQUE"))</f>
        <v/>
      </c>
      <c r="AD785" s="32">
        <f>IF(A785="","",IF(AA785="Rejected",IF(AB785&lt;&gt;"","REJECTED","ADD REASON"),IF(AND(B785&lt;&gt;"",C785&lt;&gt;"",D785&lt;&gt;"",E785&lt;&gt;"",F785&lt;&gt;"",G785&lt;&gt;"",H785&lt;&gt;"",J785&lt;&gt;"",K785&lt;&gt;"",L785&lt;&gt;"",M785&lt;&gt;"",N785&lt;&gt;"",O785&lt;&gt;"",P785&lt;&gt;"",Q785&lt;&gt;"",R785&lt;&gt;"",S785&lt;&gt;"",T785&lt;&gt;"",U785&lt;&gt;"",V785&lt;&gt;"",W785&lt;&gt;"",X785&lt;&gt;"",Y785&lt;&gt;"",AC785="UNIQUE"),"READY","CHECK")))</f>
        <v/>
      </c>
    </row>
    <row r="786">
      <c r="A786" s="25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37" t="n"/>
      <c r="K786" s="34" t="n"/>
      <c r="L786" s="26" t="n"/>
      <c r="M786" s="37" t="n"/>
      <c r="N786" s="37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34" t="n"/>
      <c r="Y786" s="26" t="n"/>
      <c r="Z786" s="26" t="n"/>
      <c r="AA786" s="26" t="n"/>
      <c r="AB786" s="27" t="n"/>
      <c r="AC786" s="32">
        <f>IF(A786="","",IF(COUNTIF($H$5:$H$1004,H786)&gt;1,"DUPLICATE","UNIQUE"))</f>
        <v/>
      </c>
      <c r="AD786" s="32">
        <f>IF(A786="","",IF(AA786="Rejected",IF(AB786&lt;&gt;"","REJECTED","ADD REASON"),IF(AND(B786&lt;&gt;"",C786&lt;&gt;"",D786&lt;&gt;"",E786&lt;&gt;"",F786&lt;&gt;"",G786&lt;&gt;"",H786&lt;&gt;"",J786&lt;&gt;"",K786&lt;&gt;"",L786&lt;&gt;"",M786&lt;&gt;"",N786&lt;&gt;"",O786&lt;&gt;"",P786&lt;&gt;"",Q786&lt;&gt;"",R786&lt;&gt;"",S786&lt;&gt;"",T786&lt;&gt;"",U786&lt;&gt;"",V786&lt;&gt;"",W786&lt;&gt;"",X786&lt;&gt;"",Y786&lt;&gt;"",AC786="UNIQUE"),"READY","CHECK")))</f>
        <v/>
      </c>
    </row>
    <row r="787">
      <c r="A787" s="25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37" t="n"/>
      <c r="K787" s="34" t="n"/>
      <c r="L787" s="26" t="n"/>
      <c r="M787" s="37" t="n"/>
      <c r="N787" s="37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34" t="n"/>
      <c r="Y787" s="26" t="n"/>
      <c r="Z787" s="26" t="n"/>
      <c r="AA787" s="26" t="n"/>
      <c r="AB787" s="27" t="n"/>
      <c r="AC787" s="32">
        <f>IF(A787="","",IF(COUNTIF($H$5:$H$1004,H787)&gt;1,"DUPLICATE","UNIQUE"))</f>
        <v/>
      </c>
      <c r="AD787" s="32">
        <f>IF(A787="","",IF(AA787="Rejected",IF(AB787&lt;&gt;"","REJECTED","ADD REASON"),IF(AND(B787&lt;&gt;"",C787&lt;&gt;"",D787&lt;&gt;"",E787&lt;&gt;"",F787&lt;&gt;"",G787&lt;&gt;"",H787&lt;&gt;"",J787&lt;&gt;"",K787&lt;&gt;"",L787&lt;&gt;"",M787&lt;&gt;"",N787&lt;&gt;"",O787&lt;&gt;"",P787&lt;&gt;"",Q787&lt;&gt;"",R787&lt;&gt;"",S787&lt;&gt;"",T787&lt;&gt;"",U787&lt;&gt;"",V787&lt;&gt;"",W787&lt;&gt;"",X787&lt;&gt;"",Y787&lt;&gt;"",AC787="UNIQUE"),"READY","CHECK")))</f>
        <v/>
      </c>
    </row>
    <row r="788">
      <c r="A788" s="25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37" t="n"/>
      <c r="K788" s="34" t="n"/>
      <c r="L788" s="26" t="n"/>
      <c r="M788" s="37" t="n"/>
      <c r="N788" s="37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34" t="n"/>
      <c r="Y788" s="26" t="n"/>
      <c r="Z788" s="26" t="n"/>
      <c r="AA788" s="26" t="n"/>
      <c r="AB788" s="27" t="n"/>
      <c r="AC788" s="32">
        <f>IF(A788="","",IF(COUNTIF($H$5:$H$1004,H788)&gt;1,"DUPLICATE","UNIQUE"))</f>
        <v/>
      </c>
      <c r="AD788" s="32">
        <f>IF(A788="","",IF(AA788="Rejected",IF(AB788&lt;&gt;"","REJECTED","ADD REASON"),IF(AND(B788&lt;&gt;"",C788&lt;&gt;"",D788&lt;&gt;"",E788&lt;&gt;"",F788&lt;&gt;"",G788&lt;&gt;"",H788&lt;&gt;"",J788&lt;&gt;"",K788&lt;&gt;"",L788&lt;&gt;"",M788&lt;&gt;"",N788&lt;&gt;"",O788&lt;&gt;"",P788&lt;&gt;"",Q788&lt;&gt;"",R788&lt;&gt;"",S788&lt;&gt;"",T788&lt;&gt;"",U788&lt;&gt;"",V788&lt;&gt;"",W788&lt;&gt;"",X788&lt;&gt;"",Y788&lt;&gt;"",AC788="UNIQUE"),"READY","CHECK")))</f>
        <v/>
      </c>
    </row>
    <row r="789">
      <c r="A789" s="25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37" t="n"/>
      <c r="K789" s="34" t="n"/>
      <c r="L789" s="26" t="n"/>
      <c r="M789" s="37" t="n"/>
      <c r="N789" s="37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34" t="n"/>
      <c r="Y789" s="26" t="n"/>
      <c r="Z789" s="26" t="n"/>
      <c r="AA789" s="26" t="n"/>
      <c r="AB789" s="27" t="n"/>
      <c r="AC789" s="32">
        <f>IF(A789="","",IF(COUNTIF($H$5:$H$1004,H789)&gt;1,"DUPLICATE","UNIQUE"))</f>
        <v/>
      </c>
      <c r="AD789" s="32">
        <f>IF(A789="","",IF(AA789="Rejected",IF(AB789&lt;&gt;"","REJECTED","ADD REASON"),IF(AND(B789&lt;&gt;"",C789&lt;&gt;"",D789&lt;&gt;"",E789&lt;&gt;"",F789&lt;&gt;"",G789&lt;&gt;"",H789&lt;&gt;"",J789&lt;&gt;"",K789&lt;&gt;"",L789&lt;&gt;"",M789&lt;&gt;"",N789&lt;&gt;"",O789&lt;&gt;"",P789&lt;&gt;"",Q789&lt;&gt;"",R789&lt;&gt;"",S789&lt;&gt;"",T789&lt;&gt;"",U789&lt;&gt;"",V789&lt;&gt;"",W789&lt;&gt;"",X789&lt;&gt;"",Y789&lt;&gt;"",AC789="UNIQUE"),"READY","CHECK")))</f>
        <v/>
      </c>
    </row>
    <row r="790">
      <c r="A790" s="25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37" t="n"/>
      <c r="K790" s="34" t="n"/>
      <c r="L790" s="26" t="n"/>
      <c r="M790" s="37" t="n"/>
      <c r="N790" s="37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34" t="n"/>
      <c r="Y790" s="26" t="n"/>
      <c r="Z790" s="26" t="n"/>
      <c r="AA790" s="26" t="n"/>
      <c r="AB790" s="27" t="n"/>
      <c r="AC790" s="32">
        <f>IF(A790="","",IF(COUNTIF($H$5:$H$1004,H790)&gt;1,"DUPLICATE","UNIQUE"))</f>
        <v/>
      </c>
      <c r="AD790" s="32">
        <f>IF(A790="","",IF(AA790="Rejected",IF(AB790&lt;&gt;"","REJECTED","ADD REASON"),IF(AND(B790&lt;&gt;"",C790&lt;&gt;"",D790&lt;&gt;"",E790&lt;&gt;"",F790&lt;&gt;"",G790&lt;&gt;"",H790&lt;&gt;"",J790&lt;&gt;"",K790&lt;&gt;"",L790&lt;&gt;"",M790&lt;&gt;"",N790&lt;&gt;"",O790&lt;&gt;"",P790&lt;&gt;"",Q790&lt;&gt;"",R790&lt;&gt;"",S790&lt;&gt;"",T790&lt;&gt;"",U790&lt;&gt;"",V790&lt;&gt;"",W790&lt;&gt;"",X790&lt;&gt;"",Y790&lt;&gt;"",AC790="UNIQUE"),"READY","CHECK")))</f>
        <v/>
      </c>
    </row>
    <row r="791">
      <c r="A791" s="25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37" t="n"/>
      <c r="K791" s="34" t="n"/>
      <c r="L791" s="26" t="n"/>
      <c r="M791" s="37" t="n"/>
      <c r="N791" s="37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34" t="n"/>
      <c r="Y791" s="26" t="n"/>
      <c r="Z791" s="26" t="n"/>
      <c r="AA791" s="26" t="n"/>
      <c r="AB791" s="27" t="n"/>
      <c r="AC791" s="32">
        <f>IF(A791="","",IF(COUNTIF($H$5:$H$1004,H791)&gt;1,"DUPLICATE","UNIQUE"))</f>
        <v/>
      </c>
      <c r="AD791" s="32">
        <f>IF(A791="","",IF(AA791="Rejected",IF(AB791&lt;&gt;"","REJECTED","ADD REASON"),IF(AND(B791&lt;&gt;"",C791&lt;&gt;"",D791&lt;&gt;"",E791&lt;&gt;"",F791&lt;&gt;"",G791&lt;&gt;"",H791&lt;&gt;"",J791&lt;&gt;"",K791&lt;&gt;"",L791&lt;&gt;"",M791&lt;&gt;"",N791&lt;&gt;"",O791&lt;&gt;"",P791&lt;&gt;"",Q791&lt;&gt;"",R791&lt;&gt;"",S791&lt;&gt;"",T791&lt;&gt;"",U791&lt;&gt;"",V791&lt;&gt;"",W791&lt;&gt;"",X791&lt;&gt;"",Y791&lt;&gt;"",AC791="UNIQUE"),"READY","CHECK")))</f>
        <v/>
      </c>
    </row>
    <row r="792">
      <c r="A792" s="25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37" t="n"/>
      <c r="K792" s="34" t="n"/>
      <c r="L792" s="26" t="n"/>
      <c r="M792" s="37" t="n"/>
      <c r="N792" s="37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34" t="n"/>
      <c r="Y792" s="26" t="n"/>
      <c r="Z792" s="26" t="n"/>
      <c r="AA792" s="26" t="n"/>
      <c r="AB792" s="27" t="n"/>
      <c r="AC792" s="32">
        <f>IF(A792="","",IF(COUNTIF($H$5:$H$1004,H792)&gt;1,"DUPLICATE","UNIQUE"))</f>
        <v/>
      </c>
      <c r="AD792" s="32">
        <f>IF(A792="","",IF(AA792="Rejected",IF(AB792&lt;&gt;"","REJECTED","ADD REASON"),IF(AND(B792&lt;&gt;"",C792&lt;&gt;"",D792&lt;&gt;"",E792&lt;&gt;"",F792&lt;&gt;"",G792&lt;&gt;"",H792&lt;&gt;"",J792&lt;&gt;"",K792&lt;&gt;"",L792&lt;&gt;"",M792&lt;&gt;"",N792&lt;&gt;"",O792&lt;&gt;"",P792&lt;&gt;"",Q792&lt;&gt;"",R792&lt;&gt;"",S792&lt;&gt;"",T792&lt;&gt;"",U792&lt;&gt;"",V792&lt;&gt;"",W792&lt;&gt;"",X792&lt;&gt;"",Y792&lt;&gt;"",AC792="UNIQUE"),"READY","CHECK")))</f>
        <v/>
      </c>
    </row>
    <row r="793">
      <c r="A793" s="25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37" t="n"/>
      <c r="K793" s="34" t="n"/>
      <c r="L793" s="26" t="n"/>
      <c r="M793" s="37" t="n"/>
      <c r="N793" s="37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34" t="n"/>
      <c r="Y793" s="26" t="n"/>
      <c r="Z793" s="26" t="n"/>
      <c r="AA793" s="26" t="n"/>
      <c r="AB793" s="27" t="n"/>
      <c r="AC793" s="32">
        <f>IF(A793="","",IF(COUNTIF($H$5:$H$1004,H793)&gt;1,"DUPLICATE","UNIQUE"))</f>
        <v/>
      </c>
      <c r="AD793" s="32">
        <f>IF(A793="","",IF(AA793="Rejected",IF(AB793&lt;&gt;"","REJECTED","ADD REASON"),IF(AND(B793&lt;&gt;"",C793&lt;&gt;"",D793&lt;&gt;"",E793&lt;&gt;"",F793&lt;&gt;"",G793&lt;&gt;"",H793&lt;&gt;"",J793&lt;&gt;"",K793&lt;&gt;"",L793&lt;&gt;"",M793&lt;&gt;"",N793&lt;&gt;"",O793&lt;&gt;"",P793&lt;&gt;"",Q793&lt;&gt;"",R793&lt;&gt;"",S793&lt;&gt;"",T793&lt;&gt;"",U793&lt;&gt;"",V793&lt;&gt;"",W793&lt;&gt;"",X793&lt;&gt;"",Y793&lt;&gt;"",AC793="UNIQUE"),"READY","CHECK")))</f>
        <v/>
      </c>
    </row>
    <row r="794">
      <c r="A794" s="25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37" t="n"/>
      <c r="K794" s="34" t="n"/>
      <c r="L794" s="26" t="n"/>
      <c r="M794" s="37" t="n"/>
      <c r="N794" s="37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34" t="n"/>
      <c r="Y794" s="26" t="n"/>
      <c r="Z794" s="26" t="n"/>
      <c r="AA794" s="26" t="n"/>
      <c r="AB794" s="27" t="n"/>
      <c r="AC794" s="32">
        <f>IF(A794="","",IF(COUNTIF($H$5:$H$1004,H794)&gt;1,"DUPLICATE","UNIQUE"))</f>
        <v/>
      </c>
      <c r="AD794" s="32">
        <f>IF(A794="","",IF(AA794="Rejected",IF(AB794&lt;&gt;"","REJECTED","ADD REASON"),IF(AND(B794&lt;&gt;"",C794&lt;&gt;"",D794&lt;&gt;"",E794&lt;&gt;"",F794&lt;&gt;"",G794&lt;&gt;"",H794&lt;&gt;"",J794&lt;&gt;"",K794&lt;&gt;"",L794&lt;&gt;"",M794&lt;&gt;"",N794&lt;&gt;"",O794&lt;&gt;"",P794&lt;&gt;"",Q794&lt;&gt;"",R794&lt;&gt;"",S794&lt;&gt;"",T794&lt;&gt;"",U794&lt;&gt;"",V794&lt;&gt;"",W794&lt;&gt;"",X794&lt;&gt;"",Y794&lt;&gt;"",AC794="UNIQUE"),"READY","CHECK")))</f>
        <v/>
      </c>
    </row>
    <row r="795">
      <c r="A795" s="25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37" t="n"/>
      <c r="K795" s="34" t="n"/>
      <c r="L795" s="26" t="n"/>
      <c r="M795" s="37" t="n"/>
      <c r="N795" s="37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34" t="n"/>
      <c r="Y795" s="26" t="n"/>
      <c r="Z795" s="26" t="n"/>
      <c r="AA795" s="26" t="n"/>
      <c r="AB795" s="27" t="n"/>
      <c r="AC795" s="32">
        <f>IF(A795="","",IF(COUNTIF($H$5:$H$1004,H795)&gt;1,"DUPLICATE","UNIQUE"))</f>
        <v/>
      </c>
      <c r="AD795" s="32">
        <f>IF(A795="","",IF(AA795="Rejected",IF(AB795&lt;&gt;"","REJECTED","ADD REASON"),IF(AND(B795&lt;&gt;"",C795&lt;&gt;"",D795&lt;&gt;"",E795&lt;&gt;"",F795&lt;&gt;"",G795&lt;&gt;"",H795&lt;&gt;"",J795&lt;&gt;"",K795&lt;&gt;"",L795&lt;&gt;"",M795&lt;&gt;"",N795&lt;&gt;"",O795&lt;&gt;"",P795&lt;&gt;"",Q795&lt;&gt;"",R795&lt;&gt;"",S795&lt;&gt;"",T795&lt;&gt;"",U795&lt;&gt;"",V795&lt;&gt;"",W795&lt;&gt;"",X795&lt;&gt;"",Y795&lt;&gt;"",AC795="UNIQUE"),"READY","CHECK")))</f>
        <v/>
      </c>
    </row>
    <row r="796">
      <c r="A796" s="25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37" t="n"/>
      <c r="K796" s="34" t="n"/>
      <c r="L796" s="26" t="n"/>
      <c r="M796" s="37" t="n"/>
      <c r="N796" s="37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34" t="n"/>
      <c r="Y796" s="26" t="n"/>
      <c r="Z796" s="26" t="n"/>
      <c r="AA796" s="26" t="n"/>
      <c r="AB796" s="27" t="n"/>
      <c r="AC796" s="32">
        <f>IF(A796="","",IF(COUNTIF($H$5:$H$1004,H796)&gt;1,"DUPLICATE","UNIQUE"))</f>
        <v/>
      </c>
      <c r="AD796" s="32">
        <f>IF(A796="","",IF(AA796="Rejected",IF(AB796&lt;&gt;"","REJECTED","ADD REASON"),IF(AND(B796&lt;&gt;"",C796&lt;&gt;"",D796&lt;&gt;"",E796&lt;&gt;"",F796&lt;&gt;"",G796&lt;&gt;"",H796&lt;&gt;"",J796&lt;&gt;"",K796&lt;&gt;"",L796&lt;&gt;"",M796&lt;&gt;"",N796&lt;&gt;"",O796&lt;&gt;"",P796&lt;&gt;"",Q796&lt;&gt;"",R796&lt;&gt;"",S796&lt;&gt;"",T796&lt;&gt;"",U796&lt;&gt;"",V796&lt;&gt;"",W796&lt;&gt;"",X796&lt;&gt;"",Y796&lt;&gt;"",AC796="UNIQUE"),"READY","CHECK")))</f>
        <v/>
      </c>
    </row>
    <row r="797">
      <c r="A797" s="25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37" t="n"/>
      <c r="K797" s="34" t="n"/>
      <c r="L797" s="26" t="n"/>
      <c r="M797" s="37" t="n"/>
      <c r="N797" s="37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34" t="n"/>
      <c r="Y797" s="26" t="n"/>
      <c r="Z797" s="26" t="n"/>
      <c r="AA797" s="26" t="n"/>
      <c r="AB797" s="27" t="n"/>
      <c r="AC797" s="32">
        <f>IF(A797="","",IF(COUNTIF($H$5:$H$1004,H797)&gt;1,"DUPLICATE","UNIQUE"))</f>
        <v/>
      </c>
      <c r="AD797" s="32">
        <f>IF(A797="","",IF(AA797="Rejected",IF(AB797&lt;&gt;"","REJECTED","ADD REASON"),IF(AND(B797&lt;&gt;"",C797&lt;&gt;"",D797&lt;&gt;"",E797&lt;&gt;"",F797&lt;&gt;"",G797&lt;&gt;"",H797&lt;&gt;"",J797&lt;&gt;"",K797&lt;&gt;"",L797&lt;&gt;"",M797&lt;&gt;"",N797&lt;&gt;"",O797&lt;&gt;"",P797&lt;&gt;"",Q797&lt;&gt;"",R797&lt;&gt;"",S797&lt;&gt;"",T797&lt;&gt;"",U797&lt;&gt;"",V797&lt;&gt;"",W797&lt;&gt;"",X797&lt;&gt;"",Y797&lt;&gt;"",AC797="UNIQUE"),"READY","CHECK")))</f>
        <v/>
      </c>
    </row>
    <row r="798">
      <c r="A798" s="25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37" t="n"/>
      <c r="K798" s="34" t="n"/>
      <c r="L798" s="26" t="n"/>
      <c r="M798" s="37" t="n"/>
      <c r="N798" s="37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34" t="n"/>
      <c r="Y798" s="26" t="n"/>
      <c r="Z798" s="26" t="n"/>
      <c r="AA798" s="26" t="n"/>
      <c r="AB798" s="27" t="n"/>
      <c r="AC798" s="32">
        <f>IF(A798="","",IF(COUNTIF($H$5:$H$1004,H798)&gt;1,"DUPLICATE","UNIQUE"))</f>
        <v/>
      </c>
      <c r="AD798" s="32">
        <f>IF(A798="","",IF(AA798="Rejected",IF(AB798&lt;&gt;"","REJECTED","ADD REASON"),IF(AND(B798&lt;&gt;"",C798&lt;&gt;"",D798&lt;&gt;"",E798&lt;&gt;"",F798&lt;&gt;"",G798&lt;&gt;"",H798&lt;&gt;"",J798&lt;&gt;"",K798&lt;&gt;"",L798&lt;&gt;"",M798&lt;&gt;"",N798&lt;&gt;"",O798&lt;&gt;"",P798&lt;&gt;"",Q798&lt;&gt;"",R798&lt;&gt;"",S798&lt;&gt;"",T798&lt;&gt;"",U798&lt;&gt;"",V798&lt;&gt;"",W798&lt;&gt;"",X798&lt;&gt;"",Y798&lt;&gt;"",AC798="UNIQUE"),"READY","CHECK")))</f>
        <v/>
      </c>
    </row>
    <row r="799">
      <c r="A799" s="25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37" t="n"/>
      <c r="K799" s="34" t="n"/>
      <c r="L799" s="26" t="n"/>
      <c r="M799" s="37" t="n"/>
      <c r="N799" s="37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34" t="n"/>
      <c r="Y799" s="26" t="n"/>
      <c r="Z799" s="26" t="n"/>
      <c r="AA799" s="26" t="n"/>
      <c r="AB799" s="27" t="n"/>
      <c r="AC799" s="32">
        <f>IF(A799="","",IF(COUNTIF($H$5:$H$1004,H799)&gt;1,"DUPLICATE","UNIQUE"))</f>
        <v/>
      </c>
      <c r="AD799" s="32">
        <f>IF(A799="","",IF(AA799="Rejected",IF(AB799&lt;&gt;"","REJECTED","ADD REASON"),IF(AND(B799&lt;&gt;"",C799&lt;&gt;"",D799&lt;&gt;"",E799&lt;&gt;"",F799&lt;&gt;"",G799&lt;&gt;"",H799&lt;&gt;"",J799&lt;&gt;"",K799&lt;&gt;"",L799&lt;&gt;"",M799&lt;&gt;"",N799&lt;&gt;"",O799&lt;&gt;"",P799&lt;&gt;"",Q799&lt;&gt;"",R799&lt;&gt;"",S799&lt;&gt;"",T799&lt;&gt;"",U799&lt;&gt;"",V799&lt;&gt;"",W799&lt;&gt;"",X799&lt;&gt;"",Y799&lt;&gt;"",AC799="UNIQUE"),"READY","CHECK")))</f>
        <v/>
      </c>
    </row>
    <row r="800">
      <c r="A800" s="25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37" t="n"/>
      <c r="K800" s="34" t="n"/>
      <c r="L800" s="26" t="n"/>
      <c r="M800" s="37" t="n"/>
      <c r="N800" s="37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34" t="n"/>
      <c r="Y800" s="26" t="n"/>
      <c r="Z800" s="26" t="n"/>
      <c r="AA800" s="26" t="n"/>
      <c r="AB800" s="27" t="n"/>
      <c r="AC800" s="32">
        <f>IF(A800="","",IF(COUNTIF($H$5:$H$1004,H800)&gt;1,"DUPLICATE","UNIQUE"))</f>
        <v/>
      </c>
      <c r="AD800" s="32">
        <f>IF(A800="","",IF(AA800="Rejected",IF(AB800&lt;&gt;"","REJECTED","ADD REASON"),IF(AND(B800&lt;&gt;"",C800&lt;&gt;"",D800&lt;&gt;"",E800&lt;&gt;"",F800&lt;&gt;"",G800&lt;&gt;"",H800&lt;&gt;"",J800&lt;&gt;"",K800&lt;&gt;"",L800&lt;&gt;"",M800&lt;&gt;"",N800&lt;&gt;"",O800&lt;&gt;"",P800&lt;&gt;"",Q800&lt;&gt;"",R800&lt;&gt;"",S800&lt;&gt;"",T800&lt;&gt;"",U800&lt;&gt;"",V800&lt;&gt;"",W800&lt;&gt;"",X800&lt;&gt;"",Y800&lt;&gt;"",AC800="UNIQUE"),"READY","CHECK")))</f>
        <v/>
      </c>
    </row>
    <row r="801">
      <c r="A801" s="25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37" t="n"/>
      <c r="K801" s="34" t="n"/>
      <c r="L801" s="26" t="n"/>
      <c r="M801" s="37" t="n"/>
      <c r="N801" s="37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34" t="n"/>
      <c r="Y801" s="26" t="n"/>
      <c r="Z801" s="26" t="n"/>
      <c r="AA801" s="26" t="n"/>
      <c r="AB801" s="27" t="n"/>
      <c r="AC801" s="32">
        <f>IF(A801="","",IF(COUNTIF($H$5:$H$1004,H801)&gt;1,"DUPLICATE","UNIQUE"))</f>
        <v/>
      </c>
      <c r="AD801" s="32">
        <f>IF(A801="","",IF(AA801="Rejected",IF(AB801&lt;&gt;"","REJECTED","ADD REASON"),IF(AND(B801&lt;&gt;"",C801&lt;&gt;"",D801&lt;&gt;"",E801&lt;&gt;"",F801&lt;&gt;"",G801&lt;&gt;"",H801&lt;&gt;"",J801&lt;&gt;"",K801&lt;&gt;"",L801&lt;&gt;"",M801&lt;&gt;"",N801&lt;&gt;"",O801&lt;&gt;"",P801&lt;&gt;"",Q801&lt;&gt;"",R801&lt;&gt;"",S801&lt;&gt;"",T801&lt;&gt;"",U801&lt;&gt;"",V801&lt;&gt;"",W801&lt;&gt;"",X801&lt;&gt;"",Y801&lt;&gt;"",AC801="UNIQUE"),"READY","CHECK")))</f>
        <v/>
      </c>
    </row>
    <row r="802">
      <c r="A802" s="25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37" t="n"/>
      <c r="K802" s="34" t="n"/>
      <c r="L802" s="26" t="n"/>
      <c r="M802" s="37" t="n"/>
      <c r="N802" s="37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34" t="n"/>
      <c r="Y802" s="26" t="n"/>
      <c r="Z802" s="26" t="n"/>
      <c r="AA802" s="26" t="n"/>
      <c r="AB802" s="27" t="n"/>
      <c r="AC802" s="32">
        <f>IF(A802="","",IF(COUNTIF($H$5:$H$1004,H802)&gt;1,"DUPLICATE","UNIQUE"))</f>
        <v/>
      </c>
      <c r="AD802" s="32">
        <f>IF(A802="","",IF(AA802="Rejected",IF(AB802&lt;&gt;"","REJECTED","ADD REASON"),IF(AND(B802&lt;&gt;"",C802&lt;&gt;"",D802&lt;&gt;"",E802&lt;&gt;"",F802&lt;&gt;"",G802&lt;&gt;"",H802&lt;&gt;"",J802&lt;&gt;"",K802&lt;&gt;"",L802&lt;&gt;"",M802&lt;&gt;"",N802&lt;&gt;"",O802&lt;&gt;"",P802&lt;&gt;"",Q802&lt;&gt;"",R802&lt;&gt;"",S802&lt;&gt;"",T802&lt;&gt;"",U802&lt;&gt;"",V802&lt;&gt;"",W802&lt;&gt;"",X802&lt;&gt;"",Y802&lt;&gt;"",AC802="UNIQUE"),"READY","CHECK")))</f>
        <v/>
      </c>
    </row>
    <row r="803">
      <c r="A803" s="25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37" t="n"/>
      <c r="K803" s="34" t="n"/>
      <c r="L803" s="26" t="n"/>
      <c r="M803" s="37" t="n"/>
      <c r="N803" s="37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34" t="n"/>
      <c r="Y803" s="26" t="n"/>
      <c r="Z803" s="26" t="n"/>
      <c r="AA803" s="26" t="n"/>
      <c r="AB803" s="27" t="n"/>
      <c r="AC803" s="32">
        <f>IF(A803="","",IF(COUNTIF($H$5:$H$1004,H803)&gt;1,"DUPLICATE","UNIQUE"))</f>
        <v/>
      </c>
      <c r="AD803" s="32">
        <f>IF(A803="","",IF(AA803="Rejected",IF(AB803&lt;&gt;"","REJECTED","ADD REASON"),IF(AND(B803&lt;&gt;"",C803&lt;&gt;"",D803&lt;&gt;"",E803&lt;&gt;"",F803&lt;&gt;"",G803&lt;&gt;"",H803&lt;&gt;"",J803&lt;&gt;"",K803&lt;&gt;"",L803&lt;&gt;"",M803&lt;&gt;"",N803&lt;&gt;"",O803&lt;&gt;"",P803&lt;&gt;"",Q803&lt;&gt;"",R803&lt;&gt;"",S803&lt;&gt;"",T803&lt;&gt;"",U803&lt;&gt;"",V803&lt;&gt;"",W803&lt;&gt;"",X803&lt;&gt;"",Y803&lt;&gt;"",AC803="UNIQUE"),"READY","CHECK")))</f>
        <v/>
      </c>
    </row>
    <row r="804">
      <c r="A804" s="25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37" t="n"/>
      <c r="K804" s="34" t="n"/>
      <c r="L804" s="26" t="n"/>
      <c r="M804" s="37" t="n"/>
      <c r="N804" s="37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34" t="n"/>
      <c r="Y804" s="26" t="n"/>
      <c r="Z804" s="26" t="n"/>
      <c r="AA804" s="26" t="n"/>
      <c r="AB804" s="27" t="n"/>
      <c r="AC804" s="32">
        <f>IF(A804="","",IF(COUNTIF($H$5:$H$1004,H804)&gt;1,"DUPLICATE","UNIQUE"))</f>
        <v/>
      </c>
      <c r="AD804" s="32">
        <f>IF(A804="","",IF(AA804="Rejected",IF(AB804&lt;&gt;"","REJECTED","ADD REASON"),IF(AND(B804&lt;&gt;"",C804&lt;&gt;"",D804&lt;&gt;"",E804&lt;&gt;"",F804&lt;&gt;"",G804&lt;&gt;"",H804&lt;&gt;"",J804&lt;&gt;"",K804&lt;&gt;"",L804&lt;&gt;"",M804&lt;&gt;"",N804&lt;&gt;"",O804&lt;&gt;"",P804&lt;&gt;"",Q804&lt;&gt;"",R804&lt;&gt;"",S804&lt;&gt;"",T804&lt;&gt;"",U804&lt;&gt;"",V804&lt;&gt;"",W804&lt;&gt;"",X804&lt;&gt;"",Y804&lt;&gt;"",AC804="UNIQUE"),"READY","CHECK")))</f>
        <v/>
      </c>
    </row>
    <row r="805">
      <c r="A805" s="25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37" t="n"/>
      <c r="K805" s="34" t="n"/>
      <c r="L805" s="26" t="n"/>
      <c r="M805" s="37" t="n"/>
      <c r="N805" s="37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34" t="n"/>
      <c r="Y805" s="26" t="n"/>
      <c r="Z805" s="26" t="n"/>
      <c r="AA805" s="26" t="n"/>
      <c r="AB805" s="27" t="n"/>
      <c r="AC805" s="32">
        <f>IF(A805="","",IF(COUNTIF($H$5:$H$1004,H805)&gt;1,"DUPLICATE","UNIQUE"))</f>
        <v/>
      </c>
      <c r="AD805" s="32">
        <f>IF(A805="","",IF(AA805="Rejected",IF(AB805&lt;&gt;"","REJECTED","ADD REASON"),IF(AND(B805&lt;&gt;"",C805&lt;&gt;"",D805&lt;&gt;"",E805&lt;&gt;"",F805&lt;&gt;"",G805&lt;&gt;"",H805&lt;&gt;"",J805&lt;&gt;"",K805&lt;&gt;"",L805&lt;&gt;"",M805&lt;&gt;"",N805&lt;&gt;"",O805&lt;&gt;"",P805&lt;&gt;"",Q805&lt;&gt;"",R805&lt;&gt;"",S805&lt;&gt;"",T805&lt;&gt;"",U805&lt;&gt;"",V805&lt;&gt;"",W805&lt;&gt;"",X805&lt;&gt;"",Y805&lt;&gt;"",AC805="UNIQUE"),"READY","CHECK")))</f>
        <v/>
      </c>
    </row>
    <row r="806">
      <c r="A806" s="25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37" t="n"/>
      <c r="K806" s="34" t="n"/>
      <c r="L806" s="26" t="n"/>
      <c r="M806" s="37" t="n"/>
      <c r="N806" s="37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34" t="n"/>
      <c r="Y806" s="26" t="n"/>
      <c r="Z806" s="26" t="n"/>
      <c r="AA806" s="26" t="n"/>
      <c r="AB806" s="27" t="n"/>
      <c r="AC806" s="32">
        <f>IF(A806="","",IF(COUNTIF($H$5:$H$1004,H806)&gt;1,"DUPLICATE","UNIQUE"))</f>
        <v/>
      </c>
      <c r="AD806" s="32">
        <f>IF(A806="","",IF(AA806="Rejected",IF(AB806&lt;&gt;"","REJECTED","ADD REASON"),IF(AND(B806&lt;&gt;"",C806&lt;&gt;"",D806&lt;&gt;"",E806&lt;&gt;"",F806&lt;&gt;"",G806&lt;&gt;"",H806&lt;&gt;"",J806&lt;&gt;"",K806&lt;&gt;"",L806&lt;&gt;"",M806&lt;&gt;"",N806&lt;&gt;"",O806&lt;&gt;"",P806&lt;&gt;"",Q806&lt;&gt;"",R806&lt;&gt;"",S806&lt;&gt;"",T806&lt;&gt;"",U806&lt;&gt;"",V806&lt;&gt;"",W806&lt;&gt;"",X806&lt;&gt;"",Y806&lt;&gt;"",AC806="UNIQUE"),"READY","CHECK")))</f>
        <v/>
      </c>
    </row>
    <row r="807">
      <c r="A807" s="25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37" t="n"/>
      <c r="K807" s="34" t="n"/>
      <c r="L807" s="26" t="n"/>
      <c r="M807" s="37" t="n"/>
      <c r="N807" s="37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34" t="n"/>
      <c r="Y807" s="26" t="n"/>
      <c r="Z807" s="26" t="n"/>
      <c r="AA807" s="26" t="n"/>
      <c r="AB807" s="27" t="n"/>
      <c r="AC807" s="32">
        <f>IF(A807="","",IF(COUNTIF($H$5:$H$1004,H807)&gt;1,"DUPLICATE","UNIQUE"))</f>
        <v/>
      </c>
      <c r="AD807" s="32">
        <f>IF(A807="","",IF(AA807="Rejected",IF(AB807&lt;&gt;"","REJECTED","ADD REASON"),IF(AND(B807&lt;&gt;"",C807&lt;&gt;"",D807&lt;&gt;"",E807&lt;&gt;"",F807&lt;&gt;"",G807&lt;&gt;"",H807&lt;&gt;"",J807&lt;&gt;"",K807&lt;&gt;"",L807&lt;&gt;"",M807&lt;&gt;"",N807&lt;&gt;"",O807&lt;&gt;"",P807&lt;&gt;"",Q807&lt;&gt;"",R807&lt;&gt;"",S807&lt;&gt;"",T807&lt;&gt;"",U807&lt;&gt;"",V807&lt;&gt;"",W807&lt;&gt;"",X807&lt;&gt;"",Y807&lt;&gt;"",AC807="UNIQUE"),"READY","CHECK")))</f>
        <v/>
      </c>
    </row>
    <row r="808">
      <c r="A808" s="25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37" t="n"/>
      <c r="K808" s="34" t="n"/>
      <c r="L808" s="26" t="n"/>
      <c r="M808" s="37" t="n"/>
      <c r="N808" s="37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34" t="n"/>
      <c r="Y808" s="26" t="n"/>
      <c r="Z808" s="26" t="n"/>
      <c r="AA808" s="26" t="n"/>
      <c r="AB808" s="27" t="n"/>
      <c r="AC808" s="32">
        <f>IF(A808="","",IF(COUNTIF($H$5:$H$1004,H808)&gt;1,"DUPLICATE","UNIQUE"))</f>
        <v/>
      </c>
      <c r="AD808" s="32">
        <f>IF(A808="","",IF(AA808="Rejected",IF(AB808&lt;&gt;"","REJECTED","ADD REASON"),IF(AND(B808&lt;&gt;"",C808&lt;&gt;"",D808&lt;&gt;"",E808&lt;&gt;"",F808&lt;&gt;"",G808&lt;&gt;"",H808&lt;&gt;"",J808&lt;&gt;"",K808&lt;&gt;"",L808&lt;&gt;"",M808&lt;&gt;"",N808&lt;&gt;"",O808&lt;&gt;"",P808&lt;&gt;"",Q808&lt;&gt;"",R808&lt;&gt;"",S808&lt;&gt;"",T808&lt;&gt;"",U808&lt;&gt;"",V808&lt;&gt;"",W808&lt;&gt;"",X808&lt;&gt;"",Y808&lt;&gt;"",AC808="UNIQUE"),"READY","CHECK")))</f>
        <v/>
      </c>
    </row>
    <row r="809">
      <c r="A809" s="25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37" t="n"/>
      <c r="K809" s="34" t="n"/>
      <c r="L809" s="26" t="n"/>
      <c r="M809" s="37" t="n"/>
      <c r="N809" s="37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34" t="n"/>
      <c r="Y809" s="26" t="n"/>
      <c r="Z809" s="26" t="n"/>
      <c r="AA809" s="26" t="n"/>
      <c r="AB809" s="27" t="n"/>
      <c r="AC809" s="32">
        <f>IF(A809="","",IF(COUNTIF($H$5:$H$1004,H809)&gt;1,"DUPLICATE","UNIQUE"))</f>
        <v/>
      </c>
      <c r="AD809" s="32">
        <f>IF(A809="","",IF(AA809="Rejected",IF(AB809&lt;&gt;"","REJECTED","ADD REASON"),IF(AND(B809&lt;&gt;"",C809&lt;&gt;"",D809&lt;&gt;"",E809&lt;&gt;"",F809&lt;&gt;"",G809&lt;&gt;"",H809&lt;&gt;"",J809&lt;&gt;"",K809&lt;&gt;"",L809&lt;&gt;"",M809&lt;&gt;"",N809&lt;&gt;"",O809&lt;&gt;"",P809&lt;&gt;"",Q809&lt;&gt;"",R809&lt;&gt;"",S809&lt;&gt;"",T809&lt;&gt;"",U809&lt;&gt;"",V809&lt;&gt;"",W809&lt;&gt;"",X809&lt;&gt;"",Y809&lt;&gt;"",AC809="UNIQUE"),"READY","CHECK")))</f>
        <v/>
      </c>
    </row>
    <row r="810">
      <c r="A810" s="25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37" t="n"/>
      <c r="K810" s="34" t="n"/>
      <c r="L810" s="26" t="n"/>
      <c r="M810" s="37" t="n"/>
      <c r="N810" s="37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34" t="n"/>
      <c r="Y810" s="26" t="n"/>
      <c r="Z810" s="26" t="n"/>
      <c r="AA810" s="26" t="n"/>
      <c r="AB810" s="27" t="n"/>
      <c r="AC810" s="32">
        <f>IF(A810="","",IF(COUNTIF($H$5:$H$1004,H810)&gt;1,"DUPLICATE","UNIQUE"))</f>
        <v/>
      </c>
      <c r="AD810" s="32">
        <f>IF(A810="","",IF(AA810="Rejected",IF(AB810&lt;&gt;"","REJECTED","ADD REASON"),IF(AND(B810&lt;&gt;"",C810&lt;&gt;"",D810&lt;&gt;"",E810&lt;&gt;"",F810&lt;&gt;"",G810&lt;&gt;"",H810&lt;&gt;"",J810&lt;&gt;"",K810&lt;&gt;"",L810&lt;&gt;"",M810&lt;&gt;"",N810&lt;&gt;"",O810&lt;&gt;"",P810&lt;&gt;"",Q810&lt;&gt;"",R810&lt;&gt;"",S810&lt;&gt;"",T810&lt;&gt;"",U810&lt;&gt;"",V810&lt;&gt;"",W810&lt;&gt;"",X810&lt;&gt;"",Y810&lt;&gt;"",AC810="UNIQUE"),"READY","CHECK")))</f>
        <v/>
      </c>
    </row>
    <row r="811">
      <c r="A811" s="25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37" t="n"/>
      <c r="K811" s="34" t="n"/>
      <c r="L811" s="26" t="n"/>
      <c r="M811" s="37" t="n"/>
      <c r="N811" s="37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34" t="n"/>
      <c r="Y811" s="26" t="n"/>
      <c r="Z811" s="26" t="n"/>
      <c r="AA811" s="26" t="n"/>
      <c r="AB811" s="27" t="n"/>
      <c r="AC811" s="32">
        <f>IF(A811="","",IF(COUNTIF($H$5:$H$1004,H811)&gt;1,"DUPLICATE","UNIQUE"))</f>
        <v/>
      </c>
      <c r="AD811" s="32">
        <f>IF(A811="","",IF(AA811="Rejected",IF(AB811&lt;&gt;"","REJECTED","ADD REASON"),IF(AND(B811&lt;&gt;"",C811&lt;&gt;"",D811&lt;&gt;"",E811&lt;&gt;"",F811&lt;&gt;"",G811&lt;&gt;"",H811&lt;&gt;"",J811&lt;&gt;"",K811&lt;&gt;"",L811&lt;&gt;"",M811&lt;&gt;"",N811&lt;&gt;"",O811&lt;&gt;"",P811&lt;&gt;"",Q811&lt;&gt;"",R811&lt;&gt;"",S811&lt;&gt;"",T811&lt;&gt;"",U811&lt;&gt;"",V811&lt;&gt;"",W811&lt;&gt;"",X811&lt;&gt;"",Y811&lt;&gt;"",AC811="UNIQUE"),"READY","CHECK")))</f>
        <v/>
      </c>
    </row>
    <row r="812">
      <c r="A812" s="25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37" t="n"/>
      <c r="K812" s="34" t="n"/>
      <c r="L812" s="26" t="n"/>
      <c r="M812" s="37" t="n"/>
      <c r="N812" s="37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34" t="n"/>
      <c r="Y812" s="26" t="n"/>
      <c r="Z812" s="26" t="n"/>
      <c r="AA812" s="26" t="n"/>
      <c r="AB812" s="27" t="n"/>
      <c r="AC812" s="32">
        <f>IF(A812="","",IF(COUNTIF($H$5:$H$1004,H812)&gt;1,"DUPLICATE","UNIQUE"))</f>
        <v/>
      </c>
      <c r="AD812" s="32">
        <f>IF(A812="","",IF(AA812="Rejected",IF(AB812&lt;&gt;"","REJECTED","ADD REASON"),IF(AND(B812&lt;&gt;"",C812&lt;&gt;"",D812&lt;&gt;"",E812&lt;&gt;"",F812&lt;&gt;"",G812&lt;&gt;"",H812&lt;&gt;"",J812&lt;&gt;"",K812&lt;&gt;"",L812&lt;&gt;"",M812&lt;&gt;"",N812&lt;&gt;"",O812&lt;&gt;"",P812&lt;&gt;"",Q812&lt;&gt;"",R812&lt;&gt;"",S812&lt;&gt;"",T812&lt;&gt;"",U812&lt;&gt;"",V812&lt;&gt;"",W812&lt;&gt;"",X812&lt;&gt;"",Y812&lt;&gt;"",AC812="UNIQUE"),"READY","CHECK")))</f>
        <v/>
      </c>
    </row>
    <row r="813">
      <c r="A813" s="25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37" t="n"/>
      <c r="K813" s="34" t="n"/>
      <c r="L813" s="26" t="n"/>
      <c r="M813" s="37" t="n"/>
      <c r="N813" s="37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34" t="n"/>
      <c r="Y813" s="26" t="n"/>
      <c r="Z813" s="26" t="n"/>
      <c r="AA813" s="26" t="n"/>
      <c r="AB813" s="27" t="n"/>
      <c r="AC813" s="32">
        <f>IF(A813="","",IF(COUNTIF($H$5:$H$1004,H813)&gt;1,"DUPLICATE","UNIQUE"))</f>
        <v/>
      </c>
      <c r="AD813" s="32">
        <f>IF(A813="","",IF(AA813="Rejected",IF(AB813&lt;&gt;"","REJECTED","ADD REASON"),IF(AND(B813&lt;&gt;"",C813&lt;&gt;"",D813&lt;&gt;"",E813&lt;&gt;"",F813&lt;&gt;"",G813&lt;&gt;"",H813&lt;&gt;"",J813&lt;&gt;"",K813&lt;&gt;"",L813&lt;&gt;"",M813&lt;&gt;"",N813&lt;&gt;"",O813&lt;&gt;"",P813&lt;&gt;"",Q813&lt;&gt;"",R813&lt;&gt;"",S813&lt;&gt;"",T813&lt;&gt;"",U813&lt;&gt;"",V813&lt;&gt;"",W813&lt;&gt;"",X813&lt;&gt;"",Y813&lt;&gt;"",AC813="UNIQUE"),"READY","CHECK")))</f>
        <v/>
      </c>
    </row>
    <row r="814">
      <c r="A814" s="25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37" t="n"/>
      <c r="K814" s="34" t="n"/>
      <c r="L814" s="26" t="n"/>
      <c r="M814" s="37" t="n"/>
      <c r="N814" s="37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34" t="n"/>
      <c r="Y814" s="26" t="n"/>
      <c r="Z814" s="26" t="n"/>
      <c r="AA814" s="26" t="n"/>
      <c r="AB814" s="27" t="n"/>
      <c r="AC814" s="32">
        <f>IF(A814="","",IF(COUNTIF($H$5:$H$1004,H814)&gt;1,"DUPLICATE","UNIQUE"))</f>
        <v/>
      </c>
      <c r="AD814" s="32">
        <f>IF(A814="","",IF(AA814="Rejected",IF(AB814&lt;&gt;"","REJECTED","ADD REASON"),IF(AND(B814&lt;&gt;"",C814&lt;&gt;"",D814&lt;&gt;"",E814&lt;&gt;"",F814&lt;&gt;"",G814&lt;&gt;"",H814&lt;&gt;"",J814&lt;&gt;"",K814&lt;&gt;"",L814&lt;&gt;"",M814&lt;&gt;"",N814&lt;&gt;"",O814&lt;&gt;"",P814&lt;&gt;"",Q814&lt;&gt;"",R814&lt;&gt;"",S814&lt;&gt;"",T814&lt;&gt;"",U814&lt;&gt;"",V814&lt;&gt;"",W814&lt;&gt;"",X814&lt;&gt;"",Y814&lt;&gt;"",AC814="UNIQUE"),"READY","CHECK")))</f>
        <v/>
      </c>
    </row>
    <row r="815">
      <c r="A815" s="25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37" t="n"/>
      <c r="K815" s="34" t="n"/>
      <c r="L815" s="26" t="n"/>
      <c r="M815" s="37" t="n"/>
      <c r="N815" s="37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34" t="n"/>
      <c r="Y815" s="26" t="n"/>
      <c r="Z815" s="26" t="n"/>
      <c r="AA815" s="26" t="n"/>
      <c r="AB815" s="27" t="n"/>
      <c r="AC815" s="32">
        <f>IF(A815="","",IF(COUNTIF($H$5:$H$1004,H815)&gt;1,"DUPLICATE","UNIQUE"))</f>
        <v/>
      </c>
      <c r="AD815" s="32">
        <f>IF(A815="","",IF(AA815="Rejected",IF(AB815&lt;&gt;"","REJECTED","ADD REASON"),IF(AND(B815&lt;&gt;"",C815&lt;&gt;"",D815&lt;&gt;"",E815&lt;&gt;"",F815&lt;&gt;"",G815&lt;&gt;"",H815&lt;&gt;"",J815&lt;&gt;"",K815&lt;&gt;"",L815&lt;&gt;"",M815&lt;&gt;"",N815&lt;&gt;"",O815&lt;&gt;"",P815&lt;&gt;"",Q815&lt;&gt;"",R815&lt;&gt;"",S815&lt;&gt;"",T815&lt;&gt;"",U815&lt;&gt;"",V815&lt;&gt;"",W815&lt;&gt;"",X815&lt;&gt;"",Y815&lt;&gt;"",AC815="UNIQUE"),"READY","CHECK")))</f>
        <v/>
      </c>
    </row>
    <row r="816">
      <c r="A816" s="25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37" t="n"/>
      <c r="K816" s="34" t="n"/>
      <c r="L816" s="26" t="n"/>
      <c r="M816" s="37" t="n"/>
      <c r="N816" s="37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34" t="n"/>
      <c r="Y816" s="26" t="n"/>
      <c r="Z816" s="26" t="n"/>
      <c r="AA816" s="26" t="n"/>
      <c r="AB816" s="27" t="n"/>
      <c r="AC816" s="32">
        <f>IF(A816="","",IF(COUNTIF($H$5:$H$1004,H816)&gt;1,"DUPLICATE","UNIQUE"))</f>
        <v/>
      </c>
      <c r="AD816" s="32">
        <f>IF(A816="","",IF(AA816="Rejected",IF(AB816&lt;&gt;"","REJECTED","ADD REASON"),IF(AND(B816&lt;&gt;"",C816&lt;&gt;"",D816&lt;&gt;"",E816&lt;&gt;"",F816&lt;&gt;"",G816&lt;&gt;"",H816&lt;&gt;"",J816&lt;&gt;"",K816&lt;&gt;"",L816&lt;&gt;"",M816&lt;&gt;"",N816&lt;&gt;"",O816&lt;&gt;"",P816&lt;&gt;"",Q816&lt;&gt;"",R816&lt;&gt;"",S816&lt;&gt;"",T816&lt;&gt;"",U816&lt;&gt;"",V816&lt;&gt;"",W816&lt;&gt;"",X816&lt;&gt;"",Y816&lt;&gt;"",AC816="UNIQUE"),"READY","CHECK")))</f>
        <v/>
      </c>
    </row>
    <row r="817">
      <c r="A817" s="25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37" t="n"/>
      <c r="K817" s="34" t="n"/>
      <c r="L817" s="26" t="n"/>
      <c r="M817" s="37" t="n"/>
      <c r="N817" s="37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34" t="n"/>
      <c r="Y817" s="26" t="n"/>
      <c r="Z817" s="26" t="n"/>
      <c r="AA817" s="26" t="n"/>
      <c r="AB817" s="27" t="n"/>
      <c r="AC817" s="32">
        <f>IF(A817="","",IF(COUNTIF($H$5:$H$1004,H817)&gt;1,"DUPLICATE","UNIQUE"))</f>
        <v/>
      </c>
      <c r="AD817" s="32">
        <f>IF(A817="","",IF(AA817="Rejected",IF(AB817&lt;&gt;"","REJECTED","ADD REASON"),IF(AND(B817&lt;&gt;"",C817&lt;&gt;"",D817&lt;&gt;"",E817&lt;&gt;"",F817&lt;&gt;"",G817&lt;&gt;"",H817&lt;&gt;"",J817&lt;&gt;"",K817&lt;&gt;"",L817&lt;&gt;"",M817&lt;&gt;"",N817&lt;&gt;"",O817&lt;&gt;"",P817&lt;&gt;"",Q817&lt;&gt;"",R817&lt;&gt;"",S817&lt;&gt;"",T817&lt;&gt;"",U817&lt;&gt;"",V817&lt;&gt;"",W817&lt;&gt;"",X817&lt;&gt;"",Y817&lt;&gt;"",AC817="UNIQUE"),"READY","CHECK")))</f>
        <v/>
      </c>
    </row>
    <row r="818">
      <c r="A818" s="25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37" t="n"/>
      <c r="K818" s="34" t="n"/>
      <c r="L818" s="26" t="n"/>
      <c r="M818" s="37" t="n"/>
      <c r="N818" s="37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34" t="n"/>
      <c r="Y818" s="26" t="n"/>
      <c r="Z818" s="26" t="n"/>
      <c r="AA818" s="26" t="n"/>
      <c r="AB818" s="27" t="n"/>
      <c r="AC818" s="32">
        <f>IF(A818="","",IF(COUNTIF($H$5:$H$1004,H818)&gt;1,"DUPLICATE","UNIQUE"))</f>
        <v/>
      </c>
      <c r="AD818" s="32">
        <f>IF(A818="","",IF(AA818="Rejected",IF(AB818&lt;&gt;"","REJECTED","ADD REASON"),IF(AND(B818&lt;&gt;"",C818&lt;&gt;"",D818&lt;&gt;"",E818&lt;&gt;"",F818&lt;&gt;"",G818&lt;&gt;"",H818&lt;&gt;"",J818&lt;&gt;"",K818&lt;&gt;"",L818&lt;&gt;"",M818&lt;&gt;"",N818&lt;&gt;"",O818&lt;&gt;"",P818&lt;&gt;"",Q818&lt;&gt;"",R818&lt;&gt;"",S818&lt;&gt;"",T818&lt;&gt;"",U818&lt;&gt;"",V818&lt;&gt;"",W818&lt;&gt;"",X818&lt;&gt;"",Y818&lt;&gt;"",AC818="UNIQUE"),"READY","CHECK")))</f>
        <v/>
      </c>
    </row>
    <row r="819">
      <c r="A819" s="25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37" t="n"/>
      <c r="K819" s="34" t="n"/>
      <c r="L819" s="26" t="n"/>
      <c r="M819" s="37" t="n"/>
      <c r="N819" s="37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34" t="n"/>
      <c r="Y819" s="26" t="n"/>
      <c r="Z819" s="26" t="n"/>
      <c r="AA819" s="26" t="n"/>
      <c r="AB819" s="27" t="n"/>
      <c r="AC819" s="32">
        <f>IF(A819="","",IF(COUNTIF($H$5:$H$1004,H819)&gt;1,"DUPLICATE","UNIQUE"))</f>
        <v/>
      </c>
      <c r="AD819" s="32">
        <f>IF(A819="","",IF(AA819="Rejected",IF(AB819&lt;&gt;"","REJECTED","ADD REASON"),IF(AND(B819&lt;&gt;"",C819&lt;&gt;"",D819&lt;&gt;"",E819&lt;&gt;"",F819&lt;&gt;"",G819&lt;&gt;"",H819&lt;&gt;"",J819&lt;&gt;"",K819&lt;&gt;"",L819&lt;&gt;"",M819&lt;&gt;"",N819&lt;&gt;"",O819&lt;&gt;"",P819&lt;&gt;"",Q819&lt;&gt;"",R819&lt;&gt;"",S819&lt;&gt;"",T819&lt;&gt;"",U819&lt;&gt;"",V819&lt;&gt;"",W819&lt;&gt;"",X819&lt;&gt;"",Y819&lt;&gt;"",AC819="UNIQUE"),"READY","CHECK")))</f>
        <v/>
      </c>
    </row>
    <row r="820">
      <c r="A820" s="25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37" t="n"/>
      <c r="K820" s="34" t="n"/>
      <c r="L820" s="26" t="n"/>
      <c r="M820" s="37" t="n"/>
      <c r="N820" s="37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34" t="n"/>
      <c r="Y820" s="26" t="n"/>
      <c r="Z820" s="26" t="n"/>
      <c r="AA820" s="26" t="n"/>
      <c r="AB820" s="27" t="n"/>
      <c r="AC820" s="32">
        <f>IF(A820="","",IF(COUNTIF($H$5:$H$1004,H820)&gt;1,"DUPLICATE","UNIQUE"))</f>
        <v/>
      </c>
      <c r="AD820" s="32">
        <f>IF(A820="","",IF(AA820="Rejected",IF(AB820&lt;&gt;"","REJECTED","ADD REASON"),IF(AND(B820&lt;&gt;"",C820&lt;&gt;"",D820&lt;&gt;"",E820&lt;&gt;"",F820&lt;&gt;"",G820&lt;&gt;"",H820&lt;&gt;"",J820&lt;&gt;"",K820&lt;&gt;"",L820&lt;&gt;"",M820&lt;&gt;"",N820&lt;&gt;"",O820&lt;&gt;"",P820&lt;&gt;"",Q820&lt;&gt;"",R820&lt;&gt;"",S820&lt;&gt;"",T820&lt;&gt;"",U820&lt;&gt;"",V820&lt;&gt;"",W820&lt;&gt;"",X820&lt;&gt;"",Y820&lt;&gt;"",AC820="UNIQUE"),"READY","CHECK")))</f>
        <v/>
      </c>
    </row>
    <row r="821">
      <c r="A821" s="25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37" t="n"/>
      <c r="K821" s="34" t="n"/>
      <c r="L821" s="26" t="n"/>
      <c r="M821" s="37" t="n"/>
      <c r="N821" s="37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34" t="n"/>
      <c r="Y821" s="26" t="n"/>
      <c r="Z821" s="26" t="n"/>
      <c r="AA821" s="26" t="n"/>
      <c r="AB821" s="27" t="n"/>
      <c r="AC821" s="32">
        <f>IF(A821="","",IF(COUNTIF($H$5:$H$1004,H821)&gt;1,"DUPLICATE","UNIQUE"))</f>
        <v/>
      </c>
      <c r="AD821" s="32">
        <f>IF(A821="","",IF(AA821="Rejected",IF(AB821&lt;&gt;"","REJECTED","ADD REASON"),IF(AND(B821&lt;&gt;"",C821&lt;&gt;"",D821&lt;&gt;"",E821&lt;&gt;"",F821&lt;&gt;"",G821&lt;&gt;"",H821&lt;&gt;"",J821&lt;&gt;"",K821&lt;&gt;"",L821&lt;&gt;"",M821&lt;&gt;"",N821&lt;&gt;"",O821&lt;&gt;"",P821&lt;&gt;"",Q821&lt;&gt;"",R821&lt;&gt;"",S821&lt;&gt;"",T821&lt;&gt;"",U821&lt;&gt;"",V821&lt;&gt;"",W821&lt;&gt;"",X821&lt;&gt;"",Y821&lt;&gt;"",AC821="UNIQUE"),"READY","CHECK")))</f>
        <v/>
      </c>
    </row>
    <row r="822">
      <c r="A822" s="25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37" t="n"/>
      <c r="K822" s="34" t="n"/>
      <c r="L822" s="26" t="n"/>
      <c r="M822" s="37" t="n"/>
      <c r="N822" s="37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34" t="n"/>
      <c r="Y822" s="26" t="n"/>
      <c r="Z822" s="26" t="n"/>
      <c r="AA822" s="26" t="n"/>
      <c r="AB822" s="27" t="n"/>
      <c r="AC822" s="32">
        <f>IF(A822="","",IF(COUNTIF($H$5:$H$1004,H822)&gt;1,"DUPLICATE","UNIQUE"))</f>
        <v/>
      </c>
      <c r="AD822" s="32">
        <f>IF(A822="","",IF(AA822="Rejected",IF(AB822&lt;&gt;"","REJECTED","ADD REASON"),IF(AND(B822&lt;&gt;"",C822&lt;&gt;"",D822&lt;&gt;"",E822&lt;&gt;"",F822&lt;&gt;"",G822&lt;&gt;"",H822&lt;&gt;"",J822&lt;&gt;"",K822&lt;&gt;"",L822&lt;&gt;"",M822&lt;&gt;"",N822&lt;&gt;"",O822&lt;&gt;"",P822&lt;&gt;"",Q822&lt;&gt;"",R822&lt;&gt;"",S822&lt;&gt;"",T822&lt;&gt;"",U822&lt;&gt;"",V822&lt;&gt;"",W822&lt;&gt;"",X822&lt;&gt;"",Y822&lt;&gt;"",AC822="UNIQUE"),"READY","CHECK")))</f>
        <v/>
      </c>
    </row>
    <row r="823">
      <c r="A823" s="25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37" t="n"/>
      <c r="K823" s="34" t="n"/>
      <c r="L823" s="26" t="n"/>
      <c r="M823" s="37" t="n"/>
      <c r="N823" s="37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34" t="n"/>
      <c r="Y823" s="26" t="n"/>
      <c r="Z823" s="26" t="n"/>
      <c r="AA823" s="26" t="n"/>
      <c r="AB823" s="27" t="n"/>
      <c r="AC823" s="32">
        <f>IF(A823="","",IF(COUNTIF($H$5:$H$1004,H823)&gt;1,"DUPLICATE","UNIQUE"))</f>
        <v/>
      </c>
      <c r="AD823" s="32">
        <f>IF(A823="","",IF(AA823="Rejected",IF(AB823&lt;&gt;"","REJECTED","ADD REASON"),IF(AND(B823&lt;&gt;"",C823&lt;&gt;"",D823&lt;&gt;"",E823&lt;&gt;"",F823&lt;&gt;"",G823&lt;&gt;"",H823&lt;&gt;"",J823&lt;&gt;"",K823&lt;&gt;"",L823&lt;&gt;"",M823&lt;&gt;"",N823&lt;&gt;"",O823&lt;&gt;"",P823&lt;&gt;"",Q823&lt;&gt;"",R823&lt;&gt;"",S823&lt;&gt;"",T823&lt;&gt;"",U823&lt;&gt;"",V823&lt;&gt;"",W823&lt;&gt;"",X823&lt;&gt;"",Y823&lt;&gt;"",AC823="UNIQUE"),"READY","CHECK")))</f>
        <v/>
      </c>
    </row>
    <row r="824">
      <c r="A824" s="25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37" t="n"/>
      <c r="K824" s="34" t="n"/>
      <c r="L824" s="26" t="n"/>
      <c r="M824" s="37" t="n"/>
      <c r="N824" s="37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34" t="n"/>
      <c r="Y824" s="26" t="n"/>
      <c r="Z824" s="26" t="n"/>
      <c r="AA824" s="26" t="n"/>
      <c r="AB824" s="27" t="n"/>
      <c r="AC824" s="32">
        <f>IF(A824="","",IF(COUNTIF($H$5:$H$1004,H824)&gt;1,"DUPLICATE","UNIQUE"))</f>
        <v/>
      </c>
      <c r="AD824" s="32">
        <f>IF(A824="","",IF(AA824="Rejected",IF(AB824&lt;&gt;"","REJECTED","ADD REASON"),IF(AND(B824&lt;&gt;"",C824&lt;&gt;"",D824&lt;&gt;"",E824&lt;&gt;"",F824&lt;&gt;"",G824&lt;&gt;"",H824&lt;&gt;"",J824&lt;&gt;"",K824&lt;&gt;"",L824&lt;&gt;"",M824&lt;&gt;"",N824&lt;&gt;"",O824&lt;&gt;"",P824&lt;&gt;"",Q824&lt;&gt;"",R824&lt;&gt;"",S824&lt;&gt;"",T824&lt;&gt;"",U824&lt;&gt;"",V824&lt;&gt;"",W824&lt;&gt;"",X824&lt;&gt;"",Y824&lt;&gt;"",AC824="UNIQUE"),"READY","CHECK")))</f>
        <v/>
      </c>
    </row>
    <row r="825">
      <c r="A825" s="25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37" t="n"/>
      <c r="K825" s="34" t="n"/>
      <c r="L825" s="26" t="n"/>
      <c r="M825" s="37" t="n"/>
      <c r="N825" s="37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34" t="n"/>
      <c r="Y825" s="26" t="n"/>
      <c r="Z825" s="26" t="n"/>
      <c r="AA825" s="26" t="n"/>
      <c r="AB825" s="27" t="n"/>
      <c r="AC825" s="32">
        <f>IF(A825="","",IF(COUNTIF($H$5:$H$1004,H825)&gt;1,"DUPLICATE","UNIQUE"))</f>
        <v/>
      </c>
      <c r="AD825" s="32">
        <f>IF(A825="","",IF(AA825="Rejected",IF(AB825&lt;&gt;"","REJECTED","ADD REASON"),IF(AND(B825&lt;&gt;"",C825&lt;&gt;"",D825&lt;&gt;"",E825&lt;&gt;"",F825&lt;&gt;"",G825&lt;&gt;"",H825&lt;&gt;"",J825&lt;&gt;"",K825&lt;&gt;"",L825&lt;&gt;"",M825&lt;&gt;"",N825&lt;&gt;"",O825&lt;&gt;"",P825&lt;&gt;"",Q825&lt;&gt;"",R825&lt;&gt;"",S825&lt;&gt;"",T825&lt;&gt;"",U825&lt;&gt;"",V825&lt;&gt;"",W825&lt;&gt;"",X825&lt;&gt;"",Y825&lt;&gt;"",AC825="UNIQUE"),"READY","CHECK")))</f>
        <v/>
      </c>
    </row>
    <row r="826">
      <c r="A826" s="25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37" t="n"/>
      <c r="K826" s="34" t="n"/>
      <c r="L826" s="26" t="n"/>
      <c r="M826" s="37" t="n"/>
      <c r="N826" s="37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34" t="n"/>
      <c r="Y826" s="26" t="n"/>
      <c r="Z826" s="26" t="n"/>
      <c r="AA826" s="26" t="n"/>
      <c r="AB826" s="27" t="n"/>
      <c r="AC826" s="32">
        <f>IF(A826="","",IF(COUNTIF($H$5:$H$1004,H826)&gt;1,"DUPLICATE","UNIQUE"))</f>
        <v/>
      </c>
      <c r="AD826" s="32">
        <f>IF(A826="","",IF(AA826="Rejected",IF(AB826&lt;&gt;"","REJECTED","ADD REASON"),IF(AND(B826&lt;&gt;"",C826&lt;&gt;"",D826&lt;&gt;"",E826&lt;&gt;"",F826&lt;&gt;"",G826&lt;&gt;"",H826&lt;&gt;"",J826&lt;&gt;"",K826&lt;&gt;"",L826&lt;&gt;"",M826&lt;&gt;"",N826&lt;&gt;"",O826&lt;&gt;"",P826&lt;&gt;"",Q826&lt;&gt;"",R826&lt;&gt;"",S826&lt;&gt;"",T826&lt;&gt;"",U826&lt;&gt;"",V826&lt;&gt;"",W826&lt;&gt;"",X826&lt;&gt;"",Y826&lt;&gt;"",AC826="UNIQUE"),"READY","CHECK")))</f>
        <v/>
      </c>
    </row>
    <row r="827">
      <c r="A827" s="25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37" t="n"/>
      <c r="K827" s="34" t="n"/>
      <c r="L827" s="26" t="n"/>
      <c r="M827" s="37" t="n"/>
      <c r="N827" s="37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34" t="n"/>
      <c r="Y827" s="26" t="n"/>
      <c r="Z827" s="26" t="n"/>
      <c r="AA827" s="26" t="n"/>
      <c r="AB827" s="27" t="n"/>
      <c r="AC827" s="32">
        <f>IF(A827="","",IF(COUNTIF($H$5:$H$1004,H827)&gt;1,"DUPLICATE","UNIQUE"))</f>
        <v/>
      </c>
      <c r="AD827" s="32">
        <f>IF(A827="","",IF(AA827="Rejected",IF(AB827&lt;&gt;"","REJECTED","ADD REASON"),IF(AND(B827&lt;&gt;"",C827&lt;&gt;"",D827&lt;&gt;"",E827&lt;&gt;"",F827&lt;&gt;"",G827&lt;&gt;"",H827&lt;&gt;"",J827&lt;&gt;"",K827&lt;&gt;"",L827&lt;&gt;"",M827&lt;&gt;"",N827&lt;&gt;"",O827&lt;&gt;"",P827&lt;&gt;"",Q827&lt;&gt;"",R827&lt;&gt;"",S827&lt;&gt;"",T827&lt;&gt;"",U827&lt;&gt;"",V827&lt;&gt;"",W827&lt;&gt;"",X827&lt;&gt;"",Y827&lt;&gt;"",AC827="UNIQUE"),"READY","CHECK")))</f>
        <v/>
      </c>
    </row>
    <row r="828">
      <c r="A828" s="25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37" t="n"/>
      <c r="K828" s="34" t="n"/>
      <c r="L828" s="26" t="n"/>
      <c r="M828" s="37" t="n"/>
      <c r="N828" s="37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34" t="n"/>
      <c r="Y828" s="26" t="n"/>
      <c r="Z828" s="26" t="n"/>
      <c r="AA828" s="26" t="n"/>
      <c r="AB828" s="27" t="n"/>
      <c r="AC828" s="32">
        <f>IF(A828="","",IF(COUNTIF($H$5:$H$1004,H828)&gt;1,"DUPLICATE","UNIQUE"))</f>
        <v/>
      </c>
      <c r="AD828" s="32">
        <f>IF(A828="","",IF(AA828="Rejected",IF(AB828&lt;&gt;"","REJECTED","ADD REASON"),IF(AND(B828&lt;&gt;"",C828&lt;&gt;"",D828&lt;&gt;"",E828&lt;&gt;"",F828&lt;&gt;"",G828&lt;&gt;"",H828&lt;&gt;"",J828&lt;&gt;"",K828&lt;&gt;"",L828&lt;&gt;"",M828&lt;&gt;"",N828&lt;&gt;"",O828&lt;&gt;"",P828&lt;&gt;"",Q828&lt;&gt;"",R828&lt;&gt;"",S828&lt;&gt;"",T828&lt;&gt;"",U828&lt;&gt;"",V828&lt;&gt;"",W828&lt;&gt;"",X828&lt;&gt;"",Y828&lt;&gt;"",AC828="UNIQUE"),"READY","CHECK")))</f>
        <v/>
      </c>
    </row>
    <row r="829">
      <c r="A829" s="25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37" t="n"/>
      <c r="K829" s="34" t="n"/>
      <c r="L829" s="26" t="n"/>
      <c r="M829" s="37" t="n"/>
      <c r="N829" s="37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34" t="n"/>
      <c r="Y829" s="26" t="n"/>
      <c r="Z829" s="26" t="n"/>
      <c r="AA829" s="26" t="n"/>
      <c r="AB829" s="27" t="n"/>
      <c r="AC829" s="32">
        <f>IF(A829="","",IF(COUNTIF($H$5:$H$1004,H829)&gt;1,"DUPLICATE","UNIQUE"))</f>
        <v/>
      </c>
      <c r="AD829" s="32">
        <f>IF(A829="","",IF(AA829="Rejected",IF(AB829&lt;&gt;"","REJECTED","ADD REASON"),IF(AND(B829&lt;&gt;"",C829&lt;&gt;"",D829&lt;&gt;"",E829&lt;&gt;"",F829&lt;&gt;"",G829&lt;&gt;"",H829&lt;&gt;"",J829&lt;&gt;"",K829&lt;&gt;"",L829&lt;&gt;"",M829&lt;&gt;"",N829&lt;&gt;"",O829&lt;&gt;"",P829&lt;&gt;"",Q829&lt;&gt;"",R829&lt;&gt;"",S829&lt;&gt;"",T829&lt;&gt;"",U829&lt;&gt;"",V829&lt;&gt;"",W829&lt;&gt;"",X829&lt;&gt;"",Y829&lt;&gt;"",AC829="UNIQUE"),"READY","CHECK")))</f>
        <v/>
      </c>
    </row>
    <row r="830">
      <c r="A830" s="25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37" t="n"/>
      <c r="K830" s="34" t="n"/>
      <c r="L830" s="26" t="n"/>
      <c r="M830" s="37" t="n"/>
      <c r="N830" s="37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34" t="n"/>
      <c r="Y830" s="26" t="n"/>
      <c r="Z830" s="26" t="n"/>
      <c r="AA830" s="26" t="n"/>
      <c r="AB830" s="27" t="n"/>
      <c r="AC830" s="32">
        <f>IF(A830="","",IF(COUNTIF($H$5:$H$1004,H830)&gt;1,"DUPLICATE","UNIQUE"))</f>
        <v/>
      </c>
      <c r="AD830" s="32">
        <f>IF(A830="","",IF(AA830="Rejected",IF(AB830&lt;&gt;"","REJECTED","ADD REASON"),IF(AND(B830&lt;&gt;"",C830&lt;&gt;"",D830&lt;&gt;"",E830&lt;&gt;"",F830&lt;&gt;"",G830&lt;&gt;"",H830&lt;&gt;"",J830&lt;&gt;"",K830&lt;&gt;"",L830&lt;&gt;"",M830&lt;&gt;"",N830&lt;&gt;"",O830&lt;&gt;"",P830&lt;&gt;"",Q830&lt;&gt;"",R830&lt;&gt;"",S830&lt;&gt;"",T830&lt;&gt;"",U830&lt;&gt;"",V830&lt;&gt;"",W830&lt;&gt;"",X830&lt;&gt;"",Y830&lt;&gt;"",AC830="UNIQUE"),"READY","CHECK")))</f>
        <v/>
      </c>
    </row>
    <row r="831">
      <c r="A831" s="25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37" t="n"/>
      <c r="K831" s="34" t="n"/>
      <c r="L831" s="26" t="n"/>
      <c r="M831" s="37" t="n"/>
      <c r="N831" s="37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34" t="n"/>
      <c r="Y831" s="26" t="n"/>
      <c r="Z831" s="26" t="n"/>
      <c r="AA831" s="26" t="n"/>
      <c r="AB831" s="27" t="n"/>
      <c r="AC831" s="32">
        <f>IF(A831="","",IF(COUNTIF($H$5:$H$1004,H831)&gt;1,"DUPLICATE","UNIQUE"))</f>
        <v/>
      </c>
      <c r="AD831" s="32">
        <f>IF(A831="","",IF(AA831="Rejected",IF(AB831&lt;&gt;"","REJECTED","ADD REASON"),IF(AND(B831&lt;&gt;"",C831&lt;&gt;"",D831&lt;&gt;"",E831&lt;&gt;"",F831&lt;&gt;"",G831&lt;&gt;"",H831&lt;&gt;"",J831&lt;&gt;"",K831&lt;&gt;"",L831&lt;&gt;"",M831&lt;&gt;"",N831&lt;&gt;"",O831&lt;&gt;"",P831&lt;&gt;"",Q831&lt;&gt;"",R831&lt;&gt;"",S831&lt;&gt;"",T831&lt;&gt;"",U831&lt;&gt;"",V831&lt;&gt;"",W831&lt;&gt;"",X831&lt;&gt;"",Y831&lt;&gt;"",AC831="UNIQUE"),"READY","CHECK")))</f>
        <v/>
      </c>
    </row>
    <row r="832">
      <c r="A832" s="25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37" t="n"/>
      <c r="K832" s="34" t="n"/>
      <c r="L832" s="26" t="n"/>
      <c r="M832" s="37" t="n"/>
      <c r="N832" s="37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34" t="n"/>
      <c r="Y832" s="26" t="n"/>
      <c r="Z832" s="26" t="n"/>
      <c r="AA832" s="26" t="n"/>
      <c r="AB832" s="27" t="n"/>
      <c r="AC832" s="32">
        <f>IF(A832="","",IF(COUNTIF($H$5:$H$1004,H832)&gt;1,"DUPLICATE","UNIQUE"))</f>
        <v/>
      </c>
      <c r="AD832" s="32">
        <f>IF(A832="","",IF(AA832="Rejected",IF(AB832&lt;&gt;"","REJECTED","ADD REASON"),IF(AND(B832&lt;&gt;"",C832&lt;&gt;"",D832&lt;&gt;"",E832&lt;&gt;"",F832&lt;&gt;"",G832&lt;&gt;"",H832&lt;&gt;"",J832&lt;&gt;"",K832&lt;&gt;"",L832&lt;&gt;"",M832&lt;&gt;"",N832&lt;&gt;"",O832&lt;&gt;"",P832&lt;&gt;"",Q832&lt;&gt;"",R832&lt;&gt;"",S832&lt;&gt;"",T832&lt;&gt;"",U832&lt;&gt;"",V832&lt;&gt;"",W832&lt;&gt;"",X832&lt;&gt;"",Y832&lt;&gt;"",AC832="UNIQUE"),"READY","CHECK")))</f>
        <v/>
      </c>
    </row>
    <row r="833">
      <c r="A833" s="25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37" t="n"/>
      <c r="K833" s="34" t="n"/>
      <c r="L833" s="26" t="n"/>
      <c r="M833" s="37" t="n"/>
      <c r="N833" s="37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34" t="n"/>
      <c r="Y833" s="26" t="n"/>
      <c r="Z833" s="26" t="n"/>
      <c r="AA833" s="26" t="n"/>
      <c r="AB833" s="27" t="n"/>
      <c r="AC833" s="32">
        <f>IF(A833="","",IF(COUNTIF($H$5:$H$1004,H833)&gt;1,"DUPLICATE","UNIQUE"))</f>
        <v/>
      </c>
      <c r="AD833" s="32">
        <f>IF(A833="","",IF(AA833="Rejected",IF(AB833&lt;&gt;"","REJECTED","ADD REASON"),IF(AND(B833&lt;&gt;"",C833&lt;&gt;"",D833&lt;&gt;"",E833&lt;&gt;"",F833&lt;&gt;"",G833&lt;&gt;"",H833&lt;&gt;"",J833&lt;&gt;"",K833&lt;&gt;"",L833&lt;&gt;"",M833&lt;&gt;"",N833&lt;&gt;"",O833&lt;&gt;"",P833&lt;&gt;"",Q833&lt;&gt;"",R833&lt;&gt;"",S833&lt;&gt;"",T833&lt;&gt;"",U833&lt;&gt;"",V833&lt;&gt;"",W833&lt;&gt;"",X833&lt;&gt;"",Y833&lt;&gt;"",AC833="UNIQUE"),"READY","CHECK")))</f>
        <v/>
      </c>
    </row>
    <row r="834">
      <c r="A834" s="25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37" t="n"/>
      <c r="K834" s="34" t="n"/>
      <c r="L834" s="26" t="n"/>
      <c r="M834" s="37" t="n"/>
      <c r="N834" s="37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34" t="n"/>
      <c r="Y834" s="26" t="n"/>
      <c r="Z834" s="26" t="n"/>
      <c r="AA834" s="26" t="n"/>
      <c r="AB834" s="27" t="n"/>
      <c r="AC834" s="32">
        <f>IF(A834="","",IF(COUNTIF($H$5:$H$1004,H834)&gt;1,"DUPLICATE","UNIQUE"))</f>
        <v/>
      </c>
      <c r="AD834" s="32">
        <f>IF(A834="","",IF(AA834="Rejected",IF(AB834&lt;&gt;"","REJECTED","ADD REASON"),IF(AND(B834&lt;&gt;"",C834&lt;&gt;"",D834&lt;&gt;"",E834&lt;&gt;"",F834&lt;&gt;"",G834&lt;&gt;"",H834&lt;&gt;"",J834&lt;&gt;"",K834&lt;&gt;"",L834&lt;&gt;"",M834&lt;&gt;"",N834&lt;&gt;"",O834&lt;&gt;"",P834&lt;&gt;"",Q834&lt;&gt;"",R834&lt;&gt;"",S834&lt;&gt;"",T834&lt;&gt;"",U834&lt;&gt;"",V834&lt;&gt;"",W834&lt;&gt;"",X834&lt;&gt;"",Y834&lt;&gt;"",AC834="UNIQUE"),"READY","CHECK")))</f>
        <v/>
      </c>
    </row>
    <row r="835">
      <c r="A835" s="25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37" t="n"/>
      <c r="K835" s="34" t="n"/>
      <c r="L835" s="26" t="n"/>
      <c r="M835" s="37" t="n"/>
      <c r="N835" s="37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34" t="n"/>
      <c r="Y835" s="26" t="n"/>
      <c r="Z835" s="26" t="n"/>
      <c r="AA835" s="26" t="n"/>
      <c r="AB835" s="27" t="n"/>
      <c r="AC835" s="32">
        <f>IF(A835="","",IF(COUNTIF($H$5:$H$1004,H835)&gt;1,"DUPLICATE","UNIQUE"))</f>
        <v/>
      </c>
      <c r="AD835" s="32">
        <f>IF(A835="","",IF(AA835="Rejected",IF(AB835&lt;&gt;"","REJECTED","ADD REASON"),IF(AND(B835&lt;&gt;"",C835&lt;&gt;"",D835&lt;&gt;"",E835&lt;&gt;"",F835&lt;&gt;"",G835&lt;&gt;"",H835&lt;&gt;"",J835&lt;&gt;"",K835&lt;&gt;"",L835&lt;&gt;"",M835&lt;&gt;"",N835&lt;&gt;"",O835&lt;&gt;"",P835&lt;&gt;"",Q835&lt;&gt;"",R835&lt;&gt;"",S835&lt;&gt;"",T835&lt;&gt;"",U835&lt;&gt;"",V835&lt;&gt;"",W835&lt;&gt;"",X835&lt;&gt;"",Y835&lt;&gt;"",AC835="UNIQUE"),"READY","CHECK")))</f>
        <v/>
      </c>
    </row>
    <row r="836">
      <c r="A836" s="25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37" t="n"/>
      <c r="K836" s="34" t="n"/>
      <c r="L836" s="26" t="n"/>
      <c r="M836" s="37" t="n"/>
      <c r="N836" s="37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34" t="n"/>
      <c r="Y836" s="26" t="n"/>
      <c r="Z836" s="26" t="n"/>
      <c r="AA836" s="26" t="n"/>
      <c r="AB836" s="27" t="n"/>
      <c r="AC836" s="32">
        <f>IF(A836="","",IF(COUNTIF($H$5:$H$1004,H836)&gt;1,"DUPLICATE","UNIQUE"))</f>
        <v/>
      </c>
      <c r="AD836" s="32">
        <f>IF(A836="","",IF(AA836="Rejected",IF(AB836&lt;&gt;"","REJECTED","ADD REASON"),IF(AND(B836&lt;&gt;"",C836&lt;&gt;"",D836&lt;&gt;"",E836&lt;&gt;"",F836&lt;&gt;"",G836&lt;&gt;"",H836&lt;&gt;"",J836&lt;&gt;"",K836&lt;&gt;"",L836&lt;&gt;"",M836&lt;&gt;"",N836&lt;&gt;"",O836&lt;&gt;"",P836&lt;&gt;"",Q836&lt;&gt;"",R836&lt;&gt;"",S836&lt;&gt;"",T836&lt;&gt;"",U836&lt;&gt;"",V836&lt;&gt;"",W836&lt;&gt;"",X836&lt;&gt;"",Y836&lt;&gt;"",AC836="UNIQUE"),"READY","CHECK")))</f>
        <v/>
      </c>
    </row>
    <row r="837">
      <c r="A837" s="25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37" t="n"/>
      <c r="K837" s="34" t="n"/>
      <c r="L837" s="26" t="n"/>
      <c r="M837" s="37" t="n"/>
      <c r="N837" s="37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34" t="n"/>
      <c r="Y837" s="26" t="n"/>
      <c r="Z837" s="26" t="n"/>
      <c r="AA837" s="26" t="n"/>
      <c r="AB837" s="27" t="n"/>
      <c r="AC837" s="32">
        <f>IF(A837="","",IF(COUNTIF($H$5:$H$1004,H837)&gt;1,"DUPLICATE","UNIQUE"))</f>
        <v/>
      </c>
      <c r="AD837" s="32">
        <f>IF(A837="","",IF(AA837="Rejected",IF(AB837&lt;&gt;"","REJECTED","ADD REASON"),IF(AND(B837&lt;&gt;"",C837&lt;&gt;"",D837&lt;&gt;"",E837&lt;&gt;"",F837&lt;&gt;"",G837&lt;&gt;"",H837&lt;&gt;"",J837&lt;&gt;"",K837&lt;&gt;"",L837&lt;&gt;"",M837&lt;&gt;"",N837&lt;&gt;"",O837&lt;&gt;"",P837&lt;&gt;"",Q837&lt;&gt;"",R837&lt;&gt;"",S837&lt;&gt;"",T837&lt;&gt;"",U837&lt;&gt;"",V837&lt;&gt;"",W837&lt;&gt;"",X837&lt;&gt;"",Y837&lt;&gt;"",AC837="UNIQUE"),"READY","CHECK")))</f>
        <v/>
      </c>
    </row>
    <row r="838">
      <c r="A838" s="25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37" t="n"/>
      <c r="K838" s="34" t="n"/>
      <c r="L838" s="26" t="n"/>
      <c r="M838" s="37" t="n"/>
      <c r="N838" s="37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34" t="n"/>
      <c r="Y838" s="26" t="n"/>
      <c r="Z838" s="26" t="n"/>
      <c r="AA838" s="26" t="n"/>
      <c r="AB838" s="27" t="n"/>
      <c r="AC838" s="32">
        <f>IF(A838="","",IF(COUNTIF($H$5:$H$1004,H838)&gt;1,"DUPLICATE","UNIQUE"))</f>
        <v/>
      </c>
      <c r="AD838" s="32">
        <f>IF(A838="","",IF(AA838="Rejected",IF(AB838&lt;&gt;"","REJECTED","ADD REASON"),IF(AND(B838&lt;&gt;"",C838&lt;&gt;"",D838&lt;&gt;"",E838&lt;&gt;"",F838&lt;&gt;"",G838&lt;&gt;"",H838&lt;&gt;"",J838&lt;&gt;"",K838&lt;&gt;"",L838&lt;&gt;"",M838&lt;&gt;"",N838&lt;&gt;"",O838&lt;&gt;"",P838&lt;&gt;"",Q838&lt;&gt;"",R838&lt;&gt;"",S838&lt;&gt;"",T838&lt;&gt;"",U838&lt;&gt;"",V838&lt;&gt;"",W838&lt;&gt;"",X838&lt;&gt;"",Y838&lt;&gt;"",AC838="UNIQUE"),"READY","CHECK")))</f>
        <v/>
      </c>
    </row>
    <row r="839">
      <c r="A839" s="25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37" t="n"/>
      <c r="K839" s="34" t="n"/>
      <c r="L839" s="26" t="n"/>
      <c r="M839" s="37" t="n"/>
      <c r="N839" s="37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34" t="n"/>
      <c r="Y839" s="26" t="n"/>
      <c r="Z839" s="26" t="n"/>
      <c r="AA839" s="26" t="n"/>
      <c r="AB839" s="27" t="n"/>
      <c r="AC839" s="32">
        <f>IF(A839="","",IF(COUNTIF($H$5:$H$1004,H839)&gt;1,"DUPLICATE","UNIQUE"))</f>
        <v/>
      </c>
      <c r="AD839" s="32">
        <f>IF(A839="","",IF(AA839="Rejected",IF(AB839&lt;&gt;"","REJECTED","ADD REASON"),IF(AND(B839&lt;&gt;"",C839&lt;&gt;"",D839&lt;&gt;"",E839&lt;&gt;"",F839&lt;&gt;"",G839&lt;&gt;"",H839&lt;&gt;"",J839&lt;&gt;"",K839&lt;&gt;"",L839&lt;&gt;"",M839&lt;&gt;"",N839&lt;&gt;"",O839&lt;&gt;"",P839&lt;&gt;"",Q839&lt;&gt;"",R839&lt;&gt;"",S839&lt;&gt;"",T839&lt;&gt;"",U839&lt;&gt;"",V839&lt;&gt;"",W839&lt;&gt;"",X839&lt;&gt;"",Y839&lt;&gt;"",AC839="UNIQUE"),"READY","CHECK")))</f>
        <v/>
      </c>
    </row>
    <row r="840">
      <c r="A840" s="25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37" t="n"/>
      <c r="K840" s="34" t="n"/>
      <c r="L840" s="26" t="n"/>
      <c r="M840" s="37" t="n"/>
      <c r="N840" s="37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34" t="n"/>
      <c r="Y840" s="26" t="n"/>
      <c r="Z840" s="26" t="n"/>
      <c r="AA840" s="26" t="n"/>
      <c r="AB840" s="27" t="n"/>
      <c r="AC840" s="32">
        <f>IF(A840="","",IF(COUNTIF($H$5:$H$1004,H840)&gt;1,"DUPLICATE","UNIQUE"))</f>
        <v/>
      </c>
      <c r="AD840" s="32">
        <f>IF(A840="","",IF(AA840="Rejected",IF(AB840&lt;&gt;"","REJECTED","ADD REASON"),IF(AND(B840&lt;&gt;"",C840&lt;&gt;"",D840&lt;&gt;"",E840&lt;&gt;"",F840&lt;&gt;"",G840&lt;&gt;"",H840&lt;&gt;"",J840&lt;&gt;"",K840&lt;&gt;"",L840&lt;&gt;"",M840&lt;&gt;"",N840&lt;&gt;"",O840&lt;&gt;"",P840&lt;&gt;"",Q840&lt;&gt;"",R840&lt;&gt;"",S840&lt;&gt;"",T840&lt;&gt;"",U840&lt;&gt;"",V840&lt;&gt;"",W840&lt;&gt;"",X840&lt;&gt;"",Y840&lt;&gt;"",AC840="UNIQUE"),"READY","CHECK")))</f>
        <v/>
      </c>
    </row>
    <row r="841">
      <c r="A841" s="25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37" t="n"/>
      <c r="K841" s="34" t="n"/>
      <c r="L841" s="26" t="n"/>
      <c r="M841" s="37" t="n"/>
      <c r="N841" s="37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34" t="n"/>
      <c r="Y841" s="26" t="n"/>
      <c r="Z841" s="26" t="n"/>
      <c r="AA841" s="26" t="n"/>
      <c r="AB841" s="27" t="n"/>
      <c r="AC841" s="32">
        <f>IF(A841="","",IF(COUNTIF($H$5:$H$1004,H841)&gt;1,"DUPLICATE","UNIQUE"))</f>
        <v/>
      </c>
      <c r="AD841" s="32">
        <f>IF(A841="","",IF(AA841="Rejected",IF(AB841&lt;&gt;"","REJECTED","ADD REASON"),IF(AND(B841&lt;&gt;"",C841&lt;&gt;"",D841&lt;&gt;"",E841&lt;&gt;"",F841&lt;&gt;"",G841&lt;&gt;"",H841&lt;&gt;"",J841&lt;&gt;"",K841&lt;&gt;"",L841&lt;&gt;"",M841&lt;&gt;"",N841&lt;&gt;"",O841&lt;&gt;"",P841&lt;&gt;"",Q841&lt;&gt;"",R841&lt;&gt;"",S841&lt;&gt;"",T841&lt;&gt;"",U841&lt;&gt;"",V841&lt;&gt;"",W841&lt;&gt;"",X841&lt;&gt;"",Y841&lt;&gt;"",AC841="UNIQUE"),"READY","CHECK")))</f>
        <v/>
      </c>
    </row>
    <row r="842">
      <c r="A842" s="25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37" t="n"/>
      <c r="K842" s="34" t="n"/>
      <c r="L842" s="26" t="n"/>
      <c r="M842" s="37" t="n"/>
      <c r="N842" s="37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34" t="n"/>
      <c r="Y842" s="26" t="n"/>
      <c r="Z842" s="26" t="n"/>
      <c r="AA842" s="26" t="n"/>
      <c r="AB842" s="27" t="n"/>
      <c r="AC842" s="32">
        <f>IF(A842="","",IF(COUNTIF($H$5:$H$1004,H842)&gt;1,"DUPLICATE","UNIQUE"))</f>
        <v/>
      </c>
      <c r="AD842" s="32">
        <f>IF(A842="","",IF(AA842="Rejected",IF(AB842&lt;&gt;"","REJECTED","ADD REASON"),IF(AND(B842&lt;&gt;"",C842&lt;&gt;"",D842&lt;&gt;"",E842&lt;&gt;"",F842&lt;&gt;"",G842&lt;&gt;"",H842&lt;&gt;"",J842&lt;&gt;"",K842&lt;&gt;"",L842&lt;&gt;"",M842&lt;&gt;"",N842&lt;&gt;"",O842&lt;&gt;"",P842&lt;&gt;"",Q842&lt;&gt;"",R842&lt;&gt;"",S842&lt;&gt;"",T842&lt;&gt;"",U842&lt;&gt;"",V842&lt;&gt;"",W842&lt;&gt;"",X842&lt;&gt;"",Y842&lt;&gt;"",AC842="UNIQUE"),"READY","CHECK")))</f>
        <v/>
      </c>
    </row>
    <row r="843">
      <c r="A843" s="25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37" t="n"/>
      <c r="K843" s="34" t="n"/>
      <c r="L843" s="26" t="n"/>
      <c r="M843" s="37" t="n"/>
      <c r="N843" s="37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34" t="n"/>
      <c r="Y843" s="26" t="n"/>
      <c r="Z843" s="26" t="n"/>
      <c r="AA843" s="26" t="n"/>
      <c r="AB843" s="27" t="n"/>
      <c r="AC843" s="32">
        <f>IF(A843="","",IF(COUNTIF($H$5:$H$1004,H843)&gt;1,"DUPLICATE","UNIQUE"))</f>
        <v/>
      </c>
      <c r="AD843" s="32">
        <f>IF(A843="","",IF(AA843="Rejected",IF(AB843&lt;&gt;"","REJECTED","ADD REASON"),IF(AND(B843&lt;&gt;"",C843&lt;&gt;"",D843&lt;&gt;"",E843&lt;&gt;"",F843&lt;&gt;"",G843&lt;&gt;"",H843&lt;&gt;"",J843&lt;&gt;"",K843&lt;&gt;"",L843&lt;&gt;"",M843&lt;&gt;"",N843&lt;&gt;"",O843&lt;&gt;"",P843&lt;&gt;"",Q843&lt;&gt;"",R843&lt;&gt;"",S843&lt;&gt;"",T843&lt;&gt;"",U843&lt;&gt;"",V843&lt;&gt;"",W843&lt;&gt;"",X843&lt;&gt;"",Y843&lt;&gt;"",AC843="UNIQUE"),"READY","CHECK")))</f>
        <v/>
      </c>
    </row>
    <row r="844">
      <c r="A844" s="25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37" t="n"/>
      <c r="K844" s="34" t="n"/>
      <c r="L844" s="26" t="n"/>
      <c r="M844" s="37" t="n"/>
      <c r="N844" s="37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34" t="n"/>
      <c r="Y844" s="26" t="n"/>
      <c r="Z844" s="26" t="n"/>
      <c r="AA844" s="26" t="n"/>
      <c r="AB844" s="27" t="n"/>
      <c r="AC844" s="32">
        <f>IF(A844="","",IF(COUNTIF($H$5:$H$1004,H844)&gt;1,"DUPLICATE","UNIQUE"))</f>
        <v/>
      </c>
      <c r="AD844" s="32">
        <f>IF(A844="","",IF(AA844="Rejected",IF(AB844&lt;&gt;"","REJECTED","ADD REASON"),IF(AND(B844&lt;&gt;"",C844&lt;&gt;"",D844&lt;&gt;"",E844&lt;&gt;"",F844&lt;&gt;"",G844&lt;&gt;"",H844&lt;&gt;"",J844&lt;&gt;"",K844&lt;&gt;"",L844&lt;&gt;"",M844&lt;&gt;"",N844&lt;&gt;"",O844&lt;&gt;"",P844&lt;&gt;"",Q844&lt;&gt;"",R844&lt;&gt;"",S844&lt;&gt;"",T844&lt;&gt;"",U844&lt;&gt;"",V844&lt;&gt;"",W844&lt;&gt;"",X844&lt;&gt;"",Y844&lt;&gt;"",AC844="UNIQUE"),"READY","CHECK")))</f>
        <v/>
      </c>
    </row>
    <row r="845">
      <c r="A845" s="25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37" t="n"/>
      <c r="K845" s="34" t="n"/>
      <c r="L845" s="26" t="n"/>
      <c r="M845" s="37" t="n"/>
      <c r="N845" s="37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34" t="n"/>
      <c r="Y845" s="26" t="n"/>
      <c r="Z845" s="26" t="n"/>
      <c r="AA845" s="26" t="n"/>
      <c r="AB845" s="27" t="n"/>
      <c r="AC845" s="32">
        <f>IF(A845="","",IF(COUNTIF($H$5:$H$1004,H845)&gt;1,"DUPLICATE","UNIQUE"))</f>
        <v/>
      </c>
      <c r="AD845" s="32">
        <f>IF(A845="","",IF(AA845="Rejected",IF(AB845&lt;&gt;"","REJECTED","ADD REASON"),IF(AND(B845&lt;&gt;"",C845&lt;&gt;"",D845&lt;&gt;"",E845&lt;&gt;"",F845&lt;&gt;"",G845&lt;&gt;"",H845&lt;&gt;"",J845&lt;&gt;"",K845&lt;&gt;"",L845&lt;&gt;"",M845&lt;&gt;"",N845&lt;&gt;"",O845&lt;&gt;"",P845&lt;&gt;"",Q845&lt;&gt;"",R845&lt;&gt;"",S845&lt;&gt;"",T845&lt;&gt;"",U845&lt;&gt;"",V845&lt;&gt;"",W845&lt;&gt;"",X845&lt;&gt;"",Y845&lt;&gt;"",AC845="UNIQUE"),"READY","CHECK")))</f>
        <v/>
      </c>
    </row>
    <row r="846">
      <c r="A846" s="25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37" t="n"/>
      <c r="K846" s="34" t="n"/>
      <c r="L846" s="26" t="n"/>
      <c r="M846" s="37" t="n"/>
      <c r="N846" s="37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34" t="n"/>
      <c r="Y846" s="26" t="n"/>
      <c r="Z846" s="26" t="n"/>
      <c r="AA846" s="26" t="n"/>
      <c r="AB846" s="27" t="n"/>
      <c r="AC846" s="32">
        <f>IF(A846="","",IF(COUNTIF($H$5:$H$1004,H846)&gt;1,"DUPLICATE","UNIQUE"))</f>
        <v/>
      </c>
      <c r="AD846" s="32">
        <f>IF(A846="","",IF(AA846="Rejected",IF(AB846&lt;&gt;"","REJECTED","ADD REASON"),IF(AND(B846&lt;&gt;"",C846&lt;&gt;"",D846&lt;&gt;"",E846&lt;&gt;"",F846&lt;&gt;"",G846&lt;&gt;"",H846&lt;&gt;"",J846&lt;&gt;"",K846&lt;&gt;"",L846&lt;&gt;"",M846&lt;&gt;"",N846&lt;&gt;"",O846&lt;&gt;"",P846&lt;&gt;"",Q846&lt;&gt;"",R846&lt;&gt;"",S846&lt;&gt;"",T846&lt;&gt;"",U846&lt;&gt;"",V846&lt;&gt;"",W846&lt;&gt;"",X846&lt;&gt;"",Y846&lt;&gt;"",AC846="UNIQUE"),"READY","CHECK")))</f>
        <v/>
      </c>
    </row>
    <row r="847">
      <c r="A847" s="25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37" t="n"/>
      <c r="K847" s="34" t="n"/>
      <c r="L847" s="26" t="n"/>
      <c r="M847" s="37" t="n"/>
      <c r="N847" s="37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34" t="n"/>
      <c r="Y847" s="26" t="n"/>
      <c r="Z847" s="26" t="n"/>
      <c r="AA847" s="26" t="n"/>
      <c r="AB847" s="27" t="n"/>
      <c r="AC847" s="32">
        <f>IF(A847="","",IF(COUNTIF($H$5:$H$1004,H847)&gt;1,"DUPLICATE","UNIQUE"))</f>
        <v/>
      </c>
      <c r="AD847" s="32">
        <f>IF(A847="","",IF(AA847="Rejected",IF(AB847&lt;&gt;"","REJECTED","ADD REASON"),IF(AND(B847&lt;&gt;"",C847&lt;&gt;"",D847&lt;&gt;"",E847&lt;&gt;"",F847&lt;&gt;"",G847&lt;&gt;"",H847&lt;&gt;"",J847&lt;&gt;"",K847&lt;&gt;"",L847&lt;&gt;"",M847&lt;&gt;"",N847&lt;&gt;"",O847&lt;&gt;"",P847&lt;&gt;"",Q847&lt;&gt;"",R847&lt;&gt;"",S847&lt;&gt;"",T847&lt;&gt;"",U847&lt;&gt;"",V847&lt;&gt;"",W847&lt;&gt;"",X847&lt;&gt;"",Y847&lt;&gt;"",AC847="UNIQUE"),"READY","CHECK")))</f>
        <v/>
      </c>
    </row>
    <row r="848">
      <c r="A848" s="25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37" t="n"/>
      <c r="K848" s="34" t="n"/>
      <c r="L848" s="26" t="n"/>
      <c r="M848" s="37" t="n"/>
      <c r="N848" s="37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34" t="n"/>
      <c r="Y848" s="26" t="n"/>
      <c r="Z848" s="26" t="n"/>
      <c r="AA848" s="26" t="n"/>
      <c r="AB848" s="27" t="n"/>
      <c r="AC848" s="32">
        <f>IF(A848="","",IF(COUNTIF($H$5:$H$1004,H848)&gt;1,"DUPLICATE","UNIQUE"))</f>
        <v/>
      </c>
      <c r="AD848" s="32">
        <f>IF(A848="","",IF(AA848="Rejected",IF(AB848&lt;&gt;"","REJECTED","ADD REASON"),IF(AND(B848&lt;&gt;"",C848&lt;&gt;"",D848&lt;&gt;"",E848&lt;&gt;"",F848&lt;&gt;"",G848&lt;&gt;"",H848&lt;&gt;"",J848&lt;&gt;"",K848&lt;&gt;"",L848&lt;&gt;"",M848&lt;&gt;"",N848&lt;&gt;"",O848&lt;&gt;"",P848&lt;&gt;"",Q848&lt;&gt;"",R848&lt;&gt;"",S848&lt;&gt;"",T848&lt;&gt;"",U848&lt;&gt;"",V848&lt;&gt;"",W848&lt;&gt;"",X848&lt;&gt;"",Y848&lt;&gt;"",AC848="UNIQUE"),"READY","CHECK")))</f>
        <v/>
      </c>
    </row>
    <row r="849">
      <c r="A849" s="25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37" t="n"/>
      <c r="K849" s="34" t="n"/>
      <c r="L849" s="26" t="n"/>
      <c r="M849" s="37" t="n"/>
      <c r="N849" s="37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34" t="n"/>
      <c r="Y849" s="26" t="n"/>
      <c r="Z849" s="26" t="n"/>
      <c r="AA849" s="26" t="n"/>
      <c r="AB849" s="27" t="n"/>
      <c r="AC849" s="32">
        <f>IF(A849="","",IF(COUNTIF($H$5:$H$1004,H849)&gt;1,"DUPLICATE","UNIQUE"))</f>
        <v/>
      </c>
      <c r="AD849" s="32">
        <f>IF(A849="","",IF(AA849="Rejected",IF(AB849&lt;&gt;"","REJECTED","ADD REASON"),IF(AND(B849&lt;&gt;"",C849&lt;&gt;"",D849&lt;&gt;"",E849&lt;&gt;"",F849&lt;&gt;"",G849&lt;&gt;"",H849&lt;&gt;"",J849&lt;&gt;"",K849&lt;&gt;"",L849&lt;&gt;"",M849&lt;&gt;"",N849&lt;&gt;"",O849&lt;&gt;"",P849&lt;&gt;"",Q849&lt;&gt;"",R849&lt;&gt;"",S849&lt;&gt;"",T849&lt;&gt;"",U849&lt;&gt;"",V849&lt;&gt;"",W849&lt;&gt;"",X849&lt;&gt;"",Y849&lt;&gt;"",AC849="UNIQUE"),"READY","CHECK")))</f>
        <v/>
      </c>
    </row>
    <row r="850">
      <c r="A850" s="25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37" t="n"/>
      <c r="K850" s="34" t="n"/>
      <c r="L850" s="26" t="n"/>
      <c r="M850" s="37" t="n"/>
      <c r="N850" s="37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34" t="n"/>
      <c r="Y850" s="26" t="n"/>
      <c r="Z850" s="26" t="n"/>
      <c r="AA850" s="26" t="n"/>
      <c r="AB850" s="27" t="n"/>
      <c r="AC850" s="32">
        <f>IF(A850="","",IF(COUNTIF($H$5:$H$1004,H850)&gt;1,"DUPLICATE","UNIQUE"))</f>
        <v/>
      </c>
      <c r="AD850" s="32">
        <f>IF(A850="","",IF(AA850="Rejected",IF(AB850&lt;&gt;"","REJECTED","ADD REASON"),IF(AND(B850&lt;&gt;"",C850&lt;&gt;"",D850&lt;&gt;"",E850&lt;&gt;"",F850&lt;&gt;"",G850&lt;&gt;"",H850&lt;&gt;"",J850&lt;&gt;"",K850&lt;&gt;"",L850&lt;&gt;"",M850&lt;&gt;"",N850&lt;&gt;"",O850&lt;&gt;"",P850&lt;&gt;"",Q850&lt;&gt;"",R850&lt;&gt;"",S850&lt;&gt;"",T850&lt;&gt;"",U850&lt;&gt;"",V850&lt;&gt;"",W850&lt;&gt;"",X850&lt;&gt;"",Y850&lt;&gt;"",AC850="UNIQUE"),"READY","CHECK")))</f>
        <v/>
      </c>
    </row>
    <row r="851">
      <c r="A851" s="25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37" t="n"/>
      <c r="K851" s="34" t="n"/>
      <c r="L851" s="26" t="n"/>
      <c r="M851" s="37" t="n"/>
      <c r="N851" s="37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34" t="n"/>
      <c r="Y851" s="26" t="n"/>
      <c r="Z851" s="26" t="n"/>
      <c r="AA851" s="26" t="n"/>
      <c r="AB851" s="27" t="n"/>
      <c r="AC851" s="32">
        <f>IF(A851="","",IF(COUNTIF($H$5:$H$1004,H851)&gt;1,"DUPLICATE","UNIQUE"))</f>
        <v/>
      </c>
      <c r="AD851" s="32">
        <f>IF(A851="","",IF(AA851="Rejected",IF(AB851&lt;&gt;"","REJECTED","ADD REASON"),IF(AND(B851&lt;&gt;"",C851&lt;&gt;"",D851&lt;&gt;"",E851&lt;&gt;"",F851&lt;&gt;"",G851&lt;&gt;"",H851&lt;&gt;"",J851&lt;&gt;"",K851&lt;&gt;"",L851&lt;&gt;"",M851&lt;&gt;"",N851&lt;&gt;"",O851&lt;&gt;"",P851&lt;&gt;"",Q851&lt;&gt;"",R851&lt;&gt;"",S851&lt;&gt;"",T851&lt;&gt;"",U851&lt;&gt;"",V851&lt;&gt;"",W851&lt;&gt;"",X851&lt;&gt;"",Y851&lt;&gt;"",AC851="UNIQUE"),"READY","CHECK")))</f>
        <v/>
      </c>
    </row>
    <row r="852">
      <c r="A852" s="25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37" t="n"/>
      <c r="K852" s="34" t="n"/>
      <c r="L852" s="26" t="n"/>
      <c r="M852" s="37" t="n"/>
      <c r="N852" s="37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34" t="n"/>
      <c r="Y852" s="26" t="n"/>
      <c r="Z852" s="26" t="n"/>
      <c r="AA852" s="26" t="n"/>
      <c r="AB852" s="27" t="n"/>
      <c r="AC852" s="32">
        <f>IF(A852="","",IF(COUNTIF($H$5:$H$1004,H852)&gt;1,"DUPLICATE","UNIQUE"))</f>
        <v/>
      </c>
      <c r="AD852" s="32">
        <f>IF(A852="","",IF(AA852="Rejected",IF(AB852&lt;&gt;"","REJECTED","ADD REASON"),IF(AND(B852&lt;&gt;"",C852&lt;&gt;"",D852&lt;&gt;"",E852&lt;&gt;"",F852&lt;&gt;"",G852&lt;&gt;"",H852&lt;&gt;"",J852&lt;&gt;"",K852&lt;&gt;"",L852&lt;&gt;"",M852&lt;&gt;"",N852&lt;&gt;"",O852&lt;&gt;"",P852&lt;&gt;"",Q852&lt;&gt;"",R852&lt;&gt;"",S852&lt;&gt;"",T852&lt;&gt;"",U852&lt;&gt;"",V852&lt;&gt;"",W852&lt;&gt;"",X852&lt;&gt;"",Y852&lt;&gt;"",AC852="UNIQUE"),"READY","CHECK")))</f>
        <v/>
      </c>
    </row>
    <row r="853">
      <c r="A853" s="25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37" t="n"/>
      <c r="K853" s="34" t="n"/>
      <c r="L853" s="26" t="n"/>
      <c r="M853" s="37" t="n"/>
      <c r="N853" s="37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34" t="n"/>
      <c r="Y853" s="26" t="n"/>
      <c r="Z853" s="26" t="n"/>
      <c r="AA853" s="26" t="n"/>
      <c r="AB853" s="27" t="n"/>
      <c r="AC853" s="32">
        <f>IF(A853="","",IF(COUNTIF($H$5:$H$1004,H853)&gt;1,"DUPLICATE","UNIQUE"))</f>
        <v/>
      </c>
      <c r="AD853" s="32">
        <f>IF(A853="","",IF(AA853="Rejected",IF(AB853&lt;&gt;"","REJECTED","ADD REASON"),IF(AND(B853&lt;&gt;"",C853&lt;&gt;"",D853&lt;&gt;"",E853&lt;&gt;"",F853&lt;&gt;"",G853&lt;&gt;"",H853&lt;&gt;"",J853&lt;&gt;"",K853&lt;&gt;"",L853&lt;&gt;"",M853&lt;&gt;"",N853&lt;&gt;"",O853&lt;&gt;"",P853&lt;&gt;"",Q853&lt;&gt;"",R853&lt;&gt;"",S853&lt;&gt;"",T853&lt;&gt;"",U853&lt;&gt;"",V853&lt;&gt;"",W853&lt;&gt;"",X853&lt;&gt;"",Y853&lt;&gt;"",AC853="UNIQUE"),"READY","CHECK")))</f>
        <v/>
      </c>
    </row>
    <row r="854">
      <c r="A854" s="25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37" t="n"/>
      <c r="K854" s="34" t="n"/>
      <c r="L854" s="26" t="n"/>
      <c r="M854" s="37" t="n"/>
      <c r="N854" s="37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34" t="n"/>
      <c r="Y854" s="26" t="n"/>
      <c r="Z854" s="26" t="n"/>
      <c r="AA854" s="26" t="n"/>
      <c r="AB854" s="27" t="n"/>
      <c r="AC854" s="32">
        <f>IF(A854="","",IF(COUNTIF($H$5:$H$1004,H854)&gt;1,"DUPLICATE","UNIQUE"))</f>
        <v/>
      </c>
      <c r="AD854" s="32">
        <f>IF(A854="","",IF(AA854="Rejected",IF(AB854&lt;&gt;"","REJECTED","ADD REASON"),IF(AND(B854&lt;&gt;"",C854&lt;&gt;"",D854&lt;&gt;"",E854&lt;&gt;"",F854&lt;&gt;"",G854&lt;&gt;"",H854&lt;&gt;"",J854&lt;&gt;"",K854&lt;&gt;"",L854&lt;&gt;"",M854&lt;&gt;"",N854&lt;&gt;"",O854&lt;&gt;"",P854&lt;&gt;"",Q854&lt;&gt;"",R854&lt;&gt;"",S854&lt;&gt;"",T854&lt;&gt;"",U854&lt;&gt;"",V854&lt;&gt;"",W854&lt;&gt;"",X854&lt;&gt;"",Y854&lt;&gt;"",AC854="UNIQUE"),"READY","CHECK")))</f>
        <v/>
      </c>
    </row>
    <row r="855">
      <c r="A855" s="25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37" t="n"/>
      <c r="K855" s="34" t="n"/>
      <c r="L855" s="26" t="n"/>
      <c r="M855" s="37" t="n"/>
      <c r="N855" s="37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34" t="n"/>
      <c r="Y855" s="26" t="n"/>
      <c r="Z855" s="26" t="n"/>
      <c r="AA855" s="26" t="n"/>
      <c r="AB855" s="27" t="n"/>
      <c r="AC855" s="32">
        <f>IF(A855="","",IF(COUNTIF($H$5:$H$1004,H855)&gt;1,"DUPLICATE","UNIQUE"))</f>
        <v/>
      </c>
      <c r="AD855" s="32">
        <f>IF(A855="","",IF(AA855="Rejected",IF(AB855&lt;&gt;"","REJECTED","ADD REASON"),IF(AND(B855&lt;&gt;"",C855&lt;&gt;"",D855&lt;&gt;"",E855&lt;&gt;"",F855&lt;&gt;"",G855&lt;&gt;"",H855&lt;&gt;"",J855&lt;&gt;"",K855&lt;&gt;"",L855&lt;&gt;"",M855&lt;&gt;"",N855&lt;&gt;"",O855&lt;&gt;"",P855&lt;&gt;"",Q855&lt;&gt;"",R855&lt;&gt;"",S855&lt;&gt;"",T855&lt;&gt;"",U855&lt;&gt;"",V855&lt;&gt;"",W855&lt;&gt;"",X855&lt;&gt;"",Y855&lt;&gt;"",AC855="UNIQUE"),"READY","CHECK")))</f>
        <v/>
      </c>
    </row>
    <row r="856">
      <c r="A856" s="25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37" t="n"/>
      <c r="K856" s="34" t="n"/>
      <c r="L856" s="26" t="n"/>
      <c r="M856" s="37" t="n"/>
      <c r="N856" s="37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34" t="n"/>
      <c r="Y856" s="26" t="n"/>
      <c r="Z856" s="26" t="n"/>
      <c r="AA856" s="26" t="n"/>
      <c r="AB856" s="27" t="n"/>
      <c r="AC856" s="32">
        <f>IF(A856="","",IF(COUNTIF($H$5:$H$1004,H856)&gt;1,"DUPLICATE","UNIQUE"))</f>
        <v/>
      </c>
      <c r="AD856" s="32">
        <f>IF(A856="","",IF(AA856="Rejected",IF(AB856&lt;&gt;"","REJECTED","ADD REASON"),IF(AND(B856&lt;&gt;"",C856&lt;&gt;"",D856&lt;&gt;"",E856&lt;&gt;"",F856&lt;&gt;"",G856&lt;&gt;"",H856&lt;&gt;"",J856&lt;&gt;"",K856&lt;&gt;"",L856&lt;&gt;"",M856&lt;&gt;"",N856&lt;&gt;"",O856&lt;&gt;"",P856&lt;&gt;"",Q856&lt;&gt;"",R856&lt;&gt;"",S856&lt;&gt;"",T856&lt;&gt;"",U856&lt;&gt;"",V856&lt;&gt;"",W856&lt;&gt;"",X856&lt;&gt;"",Y856&lt;&gt;"",AC856="UNIQUE"),"READY","CHECK")))</f>
        <v/>
      </c>
    </row>
    <row r="857">
      <c r="A857" s="25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37" t="n"/>
      <c r="K857" s="34" t="n"/>
      <c r="L857" s="26" t="n"/>
      <c r="M857" s="37" t="n"/>
      <c r="N857" s="37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34" t="n"/>
      <c r="Y857" s="26" t="n"/>
      <c r="Z857" s="26" t="n"/>
      <c r="AA857" s="26" t="n"/>
      <c r="AB857" s="27" t="n"/>
      <c r="AC857" s="32">
        <f>IF(A857="","",IF(COUNTIF($H$5:$H$1004,H857)&gt;1,"DUPLICATE","UNIQUE"))</f>
        <v/>
      </c>
      <c r="AD857" s="32">
        <f>IF(A857="","",IF(AA857="Rejected",IF(AB857&lt;&gt;"","REJECTED","ADD REASON"),IF(AND(B857&lt;&gt;"",C857&lt;&gt;"",D857&lt;&gt;"",E857&lt;&gt;"",F857&lt;&gt;"",G857&lt;&gt;"",H857&lt;&gt;"",J857&lt;&gt;"",K857&lt;&gt;"",L857&lt;&gt;"",M857&lt;&gt;"",N857&lt;&gt;"",O857&lt;&gt;"",P857&lt;&gt;"",Q857&lt;&gt;"",R857&lt;&gt;"",S857&lt;&gt;"",T857&lt;&gt;"",U857&lt;&gt;"",V857&lt;&gt;"",W857&lt;&gt;"",X857&lt;&gt;"",Y857&lt;&gt;"",AC857="UNIQUE"),"READY","CHECK")))</f>
        <v/>
      </c>
    </row>
    <row r="858">
      <c r="A858" s="25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37" t="n"/>
      <c r="K858" s="34" t="n"/>
      <c r="L858" s="26" t="n"/>
      <c r="M858" s="37" t="n"/>
      <c r="N858" s="37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34" t="n"/>
      <c r="Y858" s="26" t="n"/>
      <c r="Z858" s="26" t="n"/>
      <c r="AA858" s="26" t="n"/>
      <c r="AB858" s="27" t="n"/>
      <c r="AC858" s="32">
        <f>IF(A858="","",IF(COUNTIF($H$5:$H$1004,H858)&gt;1,"DUPLICATE","UNIQUE"))</f>
        <v/>
      </c>
      <c r="AD858" s="32">
        <f>IF(A858="","",IF(AA858="Rejected",IF(AB858&lt;&gt;"","REJECTED","ADD REASON"),IF(AND(B858&lt;&gt;"",C858&lt;&gt;"",D858&lt;&gt;"",E858&lt;&gt;"",F858&lt;&gt;"",G858&lt;&gt;"",H858&lt;&gt;"",J858&lt;&gt;"",K858&lt;&gt;"",L858&lt;&gt;"",M858&lt;&gt;"",N858&lt;&gt;"",O858&lt;&gt;"",P858&lt;&gt;"",Q858&lt;&gt;"",R858&lt;&gt;"",S858&lt;&gt;"",T858&lt;&gt;"",U858&lt;&gt;"",V858&lt;&gt;"",W858&lt;&gt;"",X858&lt;&gt;"",Y858&lt;&gt;"",AC858="UNIQUE"),"READY","CHECK")))</f>
        <v/>
      </c>
    </row>
    <row r="859">
      <c r="A859" s="25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37" t="n"/>
      <c r="K859" s="34" t="n"/>
      <c r="L859" s="26" t="n"/>
      <c r="M859" s="37" t="n"/>
      <c r="N859" s="37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34" t="n"/>
      <c r="Y859" s="26" t="n"/>
      <c r="Z859" s="26" t="n"/>
      <c r="AA859" s="26" t="n"/>
      <c r="AB859" s="27" t="n"/>
      <c r="AC859" s="32">
        <f>IF(A859="","",IF(COUNTIF($H$5:$H$1004,H859)&gt;1,"DUPLICATE","UNIQUE"))</f>
        <v/>
      </c>
      <c r="AD859" s="32">
        <f>IF(A859="","",IF(AA859="Rejected",IF(AB859&lt;&gt;"","REJECTED","ADD REASON"),IF(AND(B859&lt;&gt;"",C859&lt;&gt;"",D859&lt;&gt;"",E859&lt;&gt;"",F859&lt;&gt;"",G859&lt;&gt;"",H859&lt;&gt;"",J859&lt;&gt;"",K859&lt;&gt;"",L859&lt;&gt;"",M859&lt;&gt;"",N859&lt;&gt;"",O859&lt;&gt;"",P859&lt;&gt;"",Q859&lt;&gt;"",R859&lt;&gt;"",S859&lt;&gt;"",T859&lt;&gt;"",U859&lt;&gt;"",V859&lt;&gt;"",W859&lt;&gt;"",X859&lt;&gt;"",Y859&lt;&gt;"",AC859="UNIQUE"),"READY","CHECK")))</f>
        <v/>
      </c>
    </row>
    <row r="860">
      <c r="A860" s="25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37" t="n"/>
      <c r="K860" s="34" t="n"/>
      <c r="L860" s="26" t="n"/>
      <c r="M860" s="37" t="n"/>
      <c r="N860" s="37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34" t="n"/>
      <c r="Y860" s="26" t="n"/>
      <c r="Z860" s="26" t="n"/>
      <c r="AA860" s="26" t="n"/>
      <c r="AB860" s="27" t="n"/>
      <c r="AC860" s="32">
        <f>IF(A860="","",IF(COUNTIF($H$5:$H$1004,H860)&gt;1,"DUPLICATE","UNIQUE"))</f>
        <v/>
      </c>
      <c r="AD860" s="32">
        <f>IF(A860="","",IF(AA860="Rejected",IF(AB860&lt;&gt;"","REJECTED","ADD REASON"),IF(AND(B860&lt;&gt;"",C860&lt;&gt;"",D860&lt;&gt;"",E860&lt;&gt;"",F860&lt;&gt;"",G860&lt;&gt;"",H860&lt;&gt;"",J860&lt;&gt;"",K860&lt;&gt;"",L860&lt;&gt;"",M860&lt;&gt;"",N860&lt;&gt;"",O860&lt;&gt;"",P860&lt;&gt;"",Q860&lt;&gt;"",R860&lt;&gt;"",S860&lt;&gt;"",T860&lt;&gt;"",U860&lt;&gt;"",V860&lt;&gt;"",W860&lt;&gt;"",X860&lt;&gt;"",Y860&lt;&gt;"",AC860="UNIQUE"),"READY","CHECK")))</f>
        <v/>
      </c>
    </row>
    <row r="861">
      <c r="A861" s="25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37" t="n"/>
      <c r="K861" s="34" t="n"/>
      <c r="L861" s="26" t="n"/>
      <c r="M861" s="37" t="n"/>
      <c r="N861" s="37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34" t="n"/>
      <c r="Y861" s="26" t="n"/>
      <c r="Z861" s="26" t="n"/>
      <c r="AA861" s="26" t="n"/>
      <c r="AB861" s="27" t="n"/>
      <c r="AC861" s="32">
        <f>IF(A861="","",IF(COUNTIF($H$5:$H$1004,H861)&gt;1,"DUPLICATE","UNIQUE"))</f>
        <v/>
      </c>
      <c r="AD861" s="32">
        <f>IF(A861="","",IF(AA861="Rejected",IF(AB861&lt;&gt;"","REJECTED","ADD REASON"),IF(AND(B861&lt;&gt;"",C861&lt;&gt;"",D861&lt;&gt;"",E861&lt;&gt;"",F861&lt;&gt;"",G861&lt;&gt;"",H861&lt;&gt;"",J861&lt;&gt;"",K861&lt;&gt;"",L861&lt;&gt;"",M861&lt;&gt;"",N861&lt;&gt;"",O861&lt;&gt;"",P861&lt;&gt;"",Q861&lt;&gt;"",R861&lt;&gt;"",S861&lt;&gt;"",T861&lt;&gt;"",U861&lt;&gt;"",V861&lt;&gt;"",W861&lt;&gt;"",X861&lt;&gt;"",Y861&lt;&gt;"",AC861="UNIQUE"),"READY","CHECK")))</f>
        <v/>
      </c>
    </row>
    <row r="862">
      <c r="A862" s="25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37" t="n"/>
      <c r="K862" s="34" t="n"/>
      <c r="L862" s="26" t="n"/>
      <c r="M862" s="37" t="n"/>
      <c r="N862" s="37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34" t="n"/>
      <c r="Y862" s="26" t="n"/>
      <c r="Z862" s="26" t="n"/>
      <c r="AA862" s="26" t="n"/>
      <c r="AB862" s="27" t="n"/>
      <c r="AC862" s="32">
        <f>IF(A862="","",IF(COUNTIF($H$5:$H$1004,H862)&gt;1,"DUPLICATE","UNIQUE"))</f>
        <v/>
      </c>
      <c r="AD862" s="32">
        <f>IF(A862="","",IF(AA862="Rejected",IF(AB862&lt;&gt;"","REJECTED","ADD REASON"),IF(AND(B862&lt;&gt;"",C862&lt;&gt;"",D862&lt;&gt;"",E862&lt;&gt;"",F862&lt;&gt;"",G862&lt;&gt;"",H862&lt;&gt;"",J862&lt;&gt;"",K862&lt;&gt;"",L862&lt;&gt;"",M862&lt;&gt;"",N862&lt;&gt;"",O862&lt;&gt;"",P862&lt;&gt;"",Q862&lt;&gt;"",R862&lt;&gt;"",S862&lt;&gt;"",T862&lt;&gt;"",U862&lt;&gt;"",V862&lt;&gt;"",W862&lt;&gt;"",X862&lt;&gt;"",Y862&lt;&gt;"",AC862="UNIQUE"),"READY","CHECK")))</f>
        <v/>
      </c>
    </row>
    <row r="863">
      <c r="A863" s="25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37" t="n"/>
      <c r="K863" s="34" t="n"/>
      <c r="L863" s="26" t="n"/>
      <c r="M863" s="37" t="n"/>
      <c r="N863" s="37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34" t="n"/>
      <c r="Y863" s="26" t="n"/>
      <c r="Z863" s="26" t="n"/>
      <c r="AA863" s="26" t="n"/>
      <c r="AB863" s="27" t="n"/>
      <c r="AC863" s="32">
        <f>IF(A863="","",IF(COUNTIF($H$5:$H$1004,H863)&gt;1,"DUPLICATE","UNIQUE"))</f>
        <v/>
      </c>
      <c r="AD863" s="32">
        <f>IF(A863="","",IF(AA863="Rejected",IF(AB863&lt;&gt;"","REJECTED","ADD REASON"),IF(AND(B863&lt;&gt;"",C863&lt;&gt;"",D863&lt;&gt;"",E863&lt;&gt;"",F863&lt;&gt;"",G863&lt;&gt;"",H863&lt;&gt;"",J863&lt;&gt;"",K863&lt;&gt;"",L863&lt;&gt;"",M863&lt;&gt;"",N863&lt;&gt;"",O863&lt;&gt;"",P863&lt;&gt;"",Q863&lt;&gt;"",R863&lt;&gt;"",S863&lt;&gt;"",T863&lt;&gt;"",U863&lt;&gt;"",V863&lt;&gt;"",W863&lt;&gt;"",X863&lt;&gt;"",Y863&lt;&gt;"",AC863="UNIQUE"),"READY","CHECK")))</f>
        <v/>
      </c>
    </row>
    <row r="864">
      <c r="A864" s="25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37" t="n"/>
      <c r="K864" s="34" t="n"/>
      <c r="L864" s="26" t="n"/>
      <c r="M864" s="37" t="n"/>
      <c r="N864" s="37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34" t="n"/>
      <c r="Y864" s="26" t="n"/>
      <c r="Z864" s="26" t="n"/>
      <c r="AA864" s="26" t="n"/>
      <c r="AB864" s="27" t="n"/>
      <c r="AC864" s="32">
        <f>IF(A864="","",IF(COUNTIF($H$5:$H$1004,H864)&gt;1,"DUPLICATE","UNIQUE"))</f>
        <v/>
      </c>
      <c r="AD864" s="32">
        <f>IF(A864="","",IF(AA864="Rejected",IF(AB864&lt;&gt;"","REJECTED","ADD REASON"),IF(AND(B864&lt;&gt;"",C864&lt;&gt;"",D864&lt;&gt;"",E864&lt;&gt;"",F864&lt;&gt;"",G864&lt;&gt;"",H864&lt;&gt;"",J864&lt;&gt;"",K864&lt;&gt;"",L864&lt;&gt;"",M864&lt;&gt;"",N864&lt;&gt;"",O864&lt;&gt;"",P864&lt;&gt;"",Q864&lt;&gt;"",R864&lt;&gt;"",S864&lt;&gt;"",T864&lt;&gt;"",U864&lt;&gt;"",V864&lt;&gt;"",W864&lt;&gt;"",X864&lt;&gt;"",Y864&lt;&gt;"",AC864="UNIQUE"),"READY","CHECK")))</f>
        <v/>
      </c>
    </row>
    <row r="865">
      <c r="A865" s="25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37" t="n"/>
      <c r="K865" s="34" t="n"/>
      <c r="L865" s="26" t="n"/>
      <c r="M865" s="37" t="n"/>
      <c r="N865" s="37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34" t="n"/>
      <c r="Y865" s="26" t="n"/>
      <c r="Z865" s="26" t="n"/>
      <c r="AA865" s="26" t="n"/>
      <c r="AB865" s="27" t="n"/>
      <c r="AC865" s="32">
        <f>IF(A865="","",IF(COUNTIF($H$5:$H$1004,H865)&gt;1,"DUPLICATE","UNIQUE"))</f>
        <v/>
      </c>
      <c r="AD865" s="32">
        <f>IF(A865="","",IF(AA865="Rejected",IF(AB865&lt;&gt;"","REJECTED","ADD REASON"),IF(AND(B865&lt;&gt;"",C865&lt;&gt;"",D865&lt;&gt;"",E865&lt;&gt;"",F865&lt;&gt;"",G865&lt;&gt;"",H865&lt;&gt;"",J865&lt;&gt;"",K865&lt;&gt;"",L865&lt;&gt;"",M865&lt;&gt;"",N865&lt;&gt;"",O865&lt;&gt;"",P865&lt;&gt;"",Q865&lt;&gt;"",R865&lt;&gt;"",S865&lt;&gt;"",T865&lt;&gt;"",U865&lt;&gt;"",V865&lt;&gt;"",W865&lt;&gt;"",X865&lt;&gt;"",Y865&lt;&gt;"",AC865="UNIQUE"),"READY","CHECK")))</f>
        <v/>
      </c>
    </row>
    <row r="866">
      <c r="A866" s="25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37" t="n"/>
      <c r="K866" s="34" t="n"/>
      <c r="L866" s="26" t="n"/>
      <c r="M866" s="37" t="n"/>
      <c r="N866" s="37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34" t="n"/>
      <c r="Y866" s="26" t="n"/>
      <c r="Z866" s="26" t="n"/>
      <c r="AA866" s="26" t="n"/>
      <c r="AB866" s="27" t="n"/>
      <c r="AC866" s="32">
        <f>IF(A866="","",IF(COUNTIF($H$5:$H$1004,H866)&gt;1,"DUPLICATE","UNIQUE"))</f>
        <v/>
      </c>
      <c r="AD866" s="32">
        <f>IF(A866="","",IF(AA866="Rejected",IF(AB866&lt;&gt;"","REJECTED","ADD REASON"),IF(AND(B866&lt;&gt;"",C866&lt;&gt;"",D866&lt;&gt;"",E866&lt;&gt;"",F866&lt;&gt;"",G866&lt;&gt;"",H866&lt;&gt;"",J866&lt;&gt;"",K866&lt;&gt;"",L866&lt;&gt;"",M866&lt;&gt;"",N866&lt;&gt;"",O866&lt;&gt;"",P866&lt;&gt;"",Q866&lt;&gt;"",R866&lt;&gt;"",S866&lt;&gt;"",T866&lt;&gt;"",U866&lt;&gt;"",V866&lt;&gt;"",W866&lt;&gt;"",X866&lt;&gt;"",Y866&lt;&gt;"",AC866="UNIQUE"),"READY","CHECK")))</f>
        <v/>
      </c>
    </row>
    <row r="867">
      <c r="A867" s="25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37" t="n"/>
      <c r="K867" s="34" t="n"/>
      <c r="L867" s="26" t="n"/>
      <c r="M867" s="37" t="n"/>
      <c r="N867" s="37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34" t="n"/>
      <c r="Y867" s="26" t="n"/>
      <c r="Z867" s="26" t="n"/>
      <c r="AA867" s="26" t="n"/>
      <c r="AB867" s="27" t="n"/>
      <c r="AC867" s="32">
        <f>IF(A867="","",IF(COUNTIF($H$5:$H$1004,H867)&gt;1,"DUPLICATE","UNIQUE"))</f>
        <v/>
      </c>
      <c r="AD867" s="32">
        <f>IF(A867="","",IF(AA867="Rejected",IF(AB867&lt;&gt;"","REJECTED","ADD REASON"),IF(AND(B867&lt;&gt;"",C867&lt;&gt;"",D867&lt;&gt;"",E867&lt;&gt;"",F867&lt;&gt;"",G867&lt;&gt;"",H867&lt;&gt;"",J867&lt;&gt;"",K867&lt;&gt;"",L867&lt;&gt;"",M867&lt;&gt;"",N867&lt;&gt;"",O867&lt;&gt;"",P867&lt;&gt;"",Q867&lt;&gt;"",R867&lt;&gt;"",S867&lt;&gt;"",T867&lt;&gt;"",U867&lt;&gt;"",V867&lt;&gt;"",W867&lt;&gt;"",X867&lt;&gt;"",Y867&lt;&gt;"",AC867="UNIQUE"),"READY","CHECK")))</f>
        <v/>
      </c>
    </row>
    <row r="868">
      <c r="A868" s="25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37" t="n"/>
      <c r="K868" s="34" t="n"/>
      <c r="L868" s="26" t="n"/>
      <c r="M868" s="37" t="n"/>
      <c r="N868" s="37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34" t="n"/>
      <c r="Y868" s="26" t="n"/>
      <c r="Z868" s="26" t="n"/>
      <c r="AA868" s="26" t="n"/>
      <c r="AB868" s="27" t="n"/>
      <c r="AC868" s="32">
        <f>IF(A868="","",IF(COUNTIF($H$5:$H$1004,H868)&gt;1,"DUPLICATE","UNIQUE"))</f>
        <v/>
      </c>
      <c r="AD868" s="32">
        <f>IF(A868="","",IF(AA868="Rejected",IF(AB868&lt;&gt;"","REJECTED","ADD REASON"),IF(AND(B868&lt;&gt;"",C868&lt;&gt;"",D868&lt;&gt;"",E868&lt;&gt;"",F868&lt;&gt;"",G868&lt;&gt;"",H868&lt;&gt;"",J868&lt;&gt;"",K868&lt;&gt;"",L868&lt;&gt;"",M868&lt;&gt;"",N868&lt;&gt;"",O868&lt;&gt;"",P868&lt;&gt;"",Q868&lt;&gt;"",R868&lt;&gt;"",S868&lt;&gt;"",T868&lt;&gt;"",U868&lt;&gt;"",V868&lt;&gt;"",W868&lt;&gt;"",X868&lt;&gt;"",Y868&lt;&gt;"",AC868="UNIQUE"),"READY","CHECK")))</f>
        <v/>
      </c>
    </row>
    <row r="869">
      <c r="A869" s="25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37" t="n"/>
      <c r="K869" s="34" t="n"/>
      <c r="L869" s="26" t="n"/>
      <c r="M869" s="37" t="n"/>
      <c r="N869" s="37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34" t="n"/>
      <c r="Y869" s="26" t="n"/>
      <c r="Z869" s="26" t="n"/>
      <c r="AA869" s="26" t="n"/>
      <c r="AB869" s="27" t="n"/>
      <c r="AC869" s="32">
        <f>IF(A869="","",IF(COUNTIF($H$5:$H$1004,H869)&gt;1,"DUPLICATE","UNIQUE"))</f>
        <v/>
      </c>
      <c r="AD869" s="32">
        <f>IF(A869="","",IF(AA869="Rejected",IF(AB869&lt;&gt;"","REJECTED","ADD REASON"),IF(AND(B869&lt;&gt;"",C869&lt;&gt;"",D869&lt;&gt;"",E869&lt;&gt;"",F869&lt;&gt;"",G869&lt;&gt;"",H869&lt;&gt;"",J869&lt;&gt;"",K869&lt;&gt;"",L869&lt;&gt;"",M869&lt;&gt;"",N869&lt;&gt;"",O869&lt;&gt;"",P869&lt;&gt;"",Q869&lt;&gt;"",R869&lt;&gt;"",S869&lt;&gt;"",T869&lt;&gt;"",U869&lt;&gt;"",V869&lt;&gt;"",W869&lt;&gt;"",X869&lt;&gt;"",Y869&lt;&gt;"",AC869="UNIQUE"),"READY","CHECK")))</f>
        <v/>
      </c>
    </row>
    <row r="870">
      <c r="A870" s="25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37" t="n"/>
      <c r="K870" s="34" t="n"/>
      <c r="L870" s="26" t="n"/>
      <c r="M870" s="37" t="n"/>
      <c r="N870" s="37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34" t="n"/>
      <c r="Y870" s="26" t="n"/>
      <c r="Z870" s="26" t="n"/>
      <c r="AA870" s="26" t="n"/>
      <c r="AB870" s="27" t="n"/>
      <c r="AC870" s="32">
        <f>IF(A870="","",IF(COUNTIF($H$5:$H$1004,H870)&gt;1,"DUPLICATE","UNIQUE"))</f>
        <v/>
      </c>
      <c r="AD870" s="32">
        <f>IF(A870="","",IF(AA870="Rejected",IF(AB870&lt;&gt;"","REJECTED","ADD REASON"),IF(AND(B870&lt;&gt;"",C870&lt;&gt;"",D870&lt;&gt;"",E870&lt;&gt;"",F870&lt;&gt;"",G870&lt;&gt;"",H870&lt;&gt;"",J870&lt;&gt;"",K870&lt;&gt;"",L870&lt;&gt;"",M870&lt;&gt;"",N870&lt;&gt;"",O870&lt;&gt;"",P870&lt;&gt;"",Q870&lt;&gt;"",R870&lt;&gt;"",S870&lt;&gt;"",T870&lt;&gt;"",U870&lt;&gt;"",V870&lt;&gt;"",W870&lt;&gt;"",X870&lt;&gt;"",Y870&lt;&gt;"",AC870="UNIQUE"),"READY","CHECK")))</f>
        <v/>
      </c>
    </row>
    <row r="871">
      <c r="A871" s="25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37" t="n"/>
      <c r="K871" s="34" t="n"/>
      <c r="L871" s="26" t="n"/>
      <c r="M871" s="37" t="n"/>
      <c r="N871" s="37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34" t="n"/>
      <c r="Y871" s="26" t="n"/>
      <c r="Z871" s="26" t="n"/>
      <c r="AA871" s="26" t="n"/>
      <c r="AB871" s="27" t="n"/>
      <c r="AC871" s="32">
        <f>IF(A871="","",IF(COUNTIF($H$5:$H$1004,H871)&gt;1,"DUPLICATE","UNIQUE"))</f>
        <v/>
      </c>
      <c r="AD871" s="32">
        <f>IF(A871="","",IF(AA871="Rejected",IF(AB871&lt;&gt;"","REJECTED","ADD REASON"),IF(AND(B871&lt;&gt;"",C871&lt;&gt;"",D871&lt;&gt;"",E871&lt;&gt;"",F871&lt;&gt;"",G871&lt;&gt;"",H871&lt;&gt;"",J871&lt;&gt;"",K871&lt;&gt;"",L871&lt;&gt;"",M871&lt;&gt;"",N871&lt;&gt;"",O871&lt;&gt;"",P871&lt;&gt;"",Q871&lt;&gt;"",R871&lt;&gt;"",S871&lt;&gt;"",T871&lt;&gt;"",U871&lt;&gt;"",V871&lt;&gt;"",W871&lt;&gt;"",X871&lt;&gt;"",Y871&lt;&gt;"",AC871="UNIQUE"),"READY","CHECK")))</f>
        <v/>
      </c>
    </row>
    <row r="872">
      <c r="A872" s="25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37" t="n"/>
      <c r="K872" s="34" t="n"/>
      <c r="L872" s="26" t="n"/>
      <c r="M872" s="37" t="n"/>
      <c r="N872" s="37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34" t="n"/>
      <c r="Y872" s="26" t="n"/>
      <c r="Z872" s="26" t="n"/>
      <c r="AA872" s="26" t="n"/>
      <c r="AB872" s="27" t="n"/>
      <c r="AC872" s="32">
        <f>IF(A872="","",IF(COUNTIF($H$5:$H$1004,H872)&gt;1,"DUPLICATE","UNIQUE"))</f>
        <v/>
      </c>
      <c r="AD872" s="32">
        <f>IF(A872="","",IF(AA872="Rejected",IF(AB872&lt;&gt;"","REJECTED","ADD REASON"),IF(AND(B872&lt;&gt;"",C872&lt;&gt;"",D872&lt;&gt;"",E872&lt;&gt;"",F872&lt;&gt;"",G872&lt;&gt;"",H872&lt;&gt;"",J872&lt;&gt;"",K872&lt;&gt;"",L872&lt;&gt;"",M872&lt;&gt;"",N872&lt;&gt;"",O872&lt;&gt;"",P872&lt;&gt;"",Q872&lt;&gt;"",R872&lt;&gt;"",S872&lt;&gt;"",T872&lt;&gt;"",U872&lt;&gt;"",V872&lt;&gt;"",W872&lt;&gt;"",X872&lt;&gt;"",Y872&lt;&gt;"",AC872="UNIQUE"),"READY","CHECK")))</f>
        <v/>
      </c>
    </row>
    <row r="873">
      <c r="A873" s="25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37" t="n"/>
      <c r="K873" s="34" t="n"/>
      <c r="L873" s="26" t="n"/>
      <c r="M873" s="37" t="n"/>
      <c r="N873" s="37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34" t="n"/>
      <c r="Y873" s="26" t="n"/>
      <c r="Z873" s="26" t="n"/>
      <c r="AA873" s="26" t="n"/>
      <c r="AB873" s="27" t="n"/>
      <c r="AC873" s="32">
        <f>IF(A873="","",IF(COUNTIF($H$5:$H$1004,H873)&gt;1,"DUPLICATE","UNIQUE"))</f>
        <v/>
      </c>
      <c r="AD873" s="32">
        <f>IF(A873="","",IF(AA873="Rejected",IF(AB873&lt;&gt;"","REJECTED","ADD REASON"),IF(AND(B873&lt;&gt;"",C873&lt;&gt;"",D873&lt;&gt;"",E873&lt;&gt;"",F873&lt;&gt;"",G873&lt;&gt;"",H873&lt;&gt;"",J873&lt;&gt;"",K873&lt;&gt;"",L873&lt;&gt;"",M873&lt;&gt;"",N873&lt;&gt;"",O873&lt;&gt;"",P873&lt;&gt;"",Q873&lt;&gt;"",R873&lt;&gt;"",S873&lt;&gt;"",T873&lt;&gt;"",U873&lt;&gt;"",V873&lt;&gt;"",W873&lt;&gt;"",X873&lt;&gt;"",Y873&lt;&gt;"",AC873="UNIQUE"),"READY","CHECK")))</f>
        <v/>
      </c>
    </row>
    <row r="874">
      <c r="A874" s="25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37" t="n"/>
      <c r="K874" s="34" t="n"/>
      <c r="L874" s="26" t="n"/>
      <c r="M874" s="37" t="n"/>
      <c r="N874" s="37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34" t="n"/>
      <c r="Y874" s="26" t="n"/>
      <c r="Z874" s="26" t="n"/>
      <c r="AA874" s="26" t="n"/>
      <c r="AB874" s="27" t="n"/>
      <c r="AC874" s="32">
        <f>IF(A874="","",IF(COUNTIF($H$5:$H$1004,H874)&gt;1,"DUPLICATE","UNIQUE"))</f>
        <v/>
      </c>
      <c r="AD874" s="32">
        <f>IF(A874="","",IF(AA874="Rejected",IF(AB874&lt;&gt;"","REJECTED","ADD REASON"),IF(AND(B874&lt;&gt;"",C874&lt;&gt;"",D874&lt;&gt;"",E874&lt;&gt;"",F874&lt;&gt;"",G874&lt;&gt;"",H874&lt;&gt;"",J874&lt;&gt;"",K874&lt;&gt;"",L874&lt;&gt;"",M874&lt;&gt;"",N874&lt;&gt;"",O874&lt;&gt;"",P874&lt;&gt;"",Q874&lt;&gt;"",R874&lt;&gt;"",S874&lt;&gt;"",T874&lt;&gt;"",U874&lt;&gt;"",V874&lt;&gt;"",W874&lt;&gt;"",X874&lt;&gt;"",Y874&lt;&gt;"",AC874="UNIQUE"),"READY","CHECK")))</f>
        <v/>
      </c>
    </row>
    <row r="875">
      <c r="A875" s="25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37" t="n"/>
      <c r="K875" s="34" t="n"/>
      <c r="L875" s="26" t="n"/>
      <c r="M875" s="37" t="n"/>
      <c r="N875" s="37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34" t="n"/>
      <c r="Y875" s="26" t="n"/>
      <c r="Z875" s="26" t="n"/>
      <c r="AA875" s="26" t="n"/>
      <c r="AB875" s="27" t="n"/>
      <c r="AC875" s="32">
        <f>IF(A875="","",IF(COUNTIF($H$5:$H$1004,H875)&gt;1,"DUPLICATE","UNIQUE"))</f>
        <v/>
      </c>
      <c r="AD875" s="32">
        <f>IF(A875="","",IF(AA875="Rejected",IF(AB875&lt;&gt;"","REJECTED","ADD REASON"),IF(AND(B875&lt;&gt;"",C875&lt;&gt;"",D875&lt;&gt;"",E875&lt;&gt;"",F875&lt;&gt;"",G875&lt;&gt;"",H875&lt;&gt;"",J875&lt;&gt;"",K875&lt;&gt;"",L875&lt;&gt;"",M875&lt;&gt;"",N875&lt;&gt;"",O875&lt;&gt;"",P875&lt;&gt;"",Q875&lt;&gt;"",R875&lt;&gt;"",S875&lt;&gt;"",T875&lt;&gt;"",U875&lt;&gt;"",V875&lt;&gt;"",W875&lt;&gt;"",X875&lt;&gt;"",Y875&lt;&gt;"",AC875="UNIQUE"),"READY","CHECK")))</f>
        <v/>
      </c>
    </row>
    <row r="876">
      <c r="A876" s="25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37" t="n"/>
      <c r="K876" s="34" t="n"/>
      <c r="L876" s="26" t="n"/>
      <c r="M876" s="37" t="n"/>
      <c r="N876" s="37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34" t="n"/>
      <c r="Y876" s="26" t="n"/>
      <c r="Z876" s="26" t="n"/>
      <c r="AA876" s="26" t="n"/>
      <c r="AB876" s="27" t="n"/>
      <c r="AC876" s="32">
        <f>IF(A876="","",IF(COUNTIF($H$5:$H$1004,H876)&gt;1,"DUPLICATE","UNIQUE"))</f>
        <v/>
      </c>
      <c r="AD876" s="32">
        <f>IF(A876="","",IF(AA876="Rejected",IF(AB876&lt;&gt;"","REJECTED","ADD REASON"),IF(AND(B876&lt;&gt;"",C876&lt;&gt;"",D876&lt;&gt;"",E876&lt;&gt;"",F876&lt;&gt;"",G876&lt;&gt;"",H876&lt;&gt;"",J876&lt;&gt;"",K876&lt;&gt;"",L876&lt;&gt;"",M876&lt;&gt;"",N876&lt;&gt;"",O876&lt;&gt;"",P876&lt;&gt;"",Q876&lt;&gt;"",R876&lt;&gt;"",S876&lt;&gt;"",T876&lt;&gt;"",U876&lt;&gt;"",V876&lt;&gt;"",W876&lt;&gt;"",X876&lt;&gt;"",Y876&lt;&gt;"",AC876="UNIQUE"),"READY","CHECK")))</f>
        <v/>
      </c>
    </row>
    <row r="877">
      <c r="A877" s="25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37" t="n"/>
      <c r="K877" s="34" t="n"/>
      <c r="L877" s="26" t="n"/>
      <c r="M877" s="37" t="n"/>
      <c r="N877" s="37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34" t="n"/>
      <c r="Y877" s="26" t="n"/>
      <c r="Z877" s="26" t="n"/>
      <c r="AA877" s="26" t="n"/>
      <c r="AB877" s="27" t="n"/>
      <c r="AC877" s="32">
        <f>IF(A877="","",IF(COUNTIF($H$5:$H$1004,H877)&gt;1,"DUPLICATE","UNIQUE"))</f>
        <v/>
      </c>
      <c r="AD877" s="32">
        <f>IF(A877="","",IF(AA877="Rejected",IF(AB877&lt;&gt;"","REJECTED","ADD REASON"),IF(AND(B877&lt;&gt;"",C877&lt;&gt;"",D877&lt;&gt;"",E877&lt;&gt;"",F877&lt;&gt;"",G877&lt;&gt;"",H877&lt;&gt;"",J877&lt;&gt;"",K877&lt;&gt;"",L877&lt;&gt;"",M877&lt;&gt;"",N877&lt;&gt;"",O877&lt;&gt;"",P877&lt;&gt;"",Q877&lt;&gt;"",R877&lt;&gt;"",S877&lt;&gt;"",T877&lt;&gt;"",U877&lt;&gt;"",V877&lt;&gt;"",W877&lt;&gt;"",X877&lt;&gt;"",Y877&lt;&gt;"",AC877="UNIQUE"),"READY","CHECK")))</f>
        <v/>
      </c>
    </row>
    <row r="878">
      <c r="A878" s="25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37" t="n"/>
      <c r="K878" s="34" t="n"/>
      <c r="L878" s="26" t="n"/>
      <c r="M878" s="37" t="n"/>
      <c r="N878" s="37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34" t="n"/>
      <c r="Y878" s="26" t="n"/>
      <c r="Z878" s="26" t="n"/>
      <c r="AA878" s="26" t="n"/>
      <c r="AB878" s="27" t="n"/>
      <c r="AC878" s="32">
        <f>IF(A878="","",IF(COUNTIF($H$5:$H$1004,H878)&gt;1,"DUPLICATE","UNIQUE"))</f>
        <v/>
      </c>
      <c r="AD878" s="32">
        <f>IF(A878="","",IF(AA878="Rejected",IF(AB878&lt;&gt;"","REJECTED","ADD REASON"),IF(AND(B878&lt;&gt;"",C878&lt;&gt;"",D878&lt;&gt;"",E878&lt;&gt;"",F878&lt;&gt;"",G878&lt;&gt;"",H878&lt;&gt;"",J878&lt;&gt;"",K878&lt;&gt;"",L878&lt;&gt;"",M878&lt;&gt;"",N878&lt;&gt;"",O878&lt;&gt;"",P878&lt;&gt;"",Q878&lt;&gt;"",R878&lt;&gt;"",S878&lt;&gt;"",T878&lt;&gt;"",U878&lt;&gt;"",V878&lt;&gt;"",W878&lt;&gt;"",X878&lt;&gt;"",Y878&lt;&gt;"",AC878="UNIQUE"),"READY","CHECK")))</f>
        <v/>
      </c>
    </row>
    <row r="879">
      <c r="A879" s="25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37" t="n"/>
      <c r="K879" s="34" t="n"/>
      <c r="L879" s="26" t="n"/>
      <c r="M879" s="37" t="n"/>
      <c r="N879" s="37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34" t="n"/>
      <c r="Y879" s="26" t="n"/>
      <c r="Z879" s="26" t="n"/>
      <c r="AA879" s="26" t="n"/>
      <c r="AB879" s="27" t="n"/>
      <c r="AC879" s="32">
        <f>IF(A879="","",IF(COUNTIF($H$5:$H$1004,H879)&gt;1,"DUPLICATE","UNIQUE"))</f>
        <v/>
      </c>
      <c r="AD879" s="32">
        <f>IF(A879="","",IF(AA879="Rejected",IF(AB879&lt;&gt;"","REJECTED","ADD REASON"),IF(AND(B879&lt;&gt;"",C879&lt;&gt;"",D879&lt;&gt;"",E879&lt;&gt;"",F879&lt;&gt;"",G879&lt;&gt;"",H879&lt;&gt;"",J879&lt;&gt;"",K879&lt;&gt;"",L879&lt;&gt;"",M879&lt;&gt;"",N879&lt;&gt;"",O879&lt;&gt;"",P879&lt;&gt;"",Q879&lt;&gt;"",R879&lt;&gt;"",S879&lt;&gt;"",T879&lt;&gt;"",U879&lt;&gt;"",V879&lt;&gt;"",W879&lt;&gt;"",X879&lt;&gt;"",Y879&lt;&gt;"",AC879="UNIQUE"),"READY","CHECK")))</f>
        <v/>
      </c>
    </row>
    <row r="880">
      <c r="A880" s="25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37" t="n"/>
      <c r="K880" s="34" t="n"/>
      <c r="L880" s="26" t="n"/>
      <c r="M880" s="37" t="n"/>
      <c r="N880" s="37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34" t="n"/>
      <c r="Y880" s="26" t="n"/>
      <c r="Z880" s="26" t="n"/>
      <c r="AA880" s="26" t="n"/>
      <c r="AB880" s="27" t="n"/>
      <c r="AC880" s="32">
        <f>IF(A880="","",IF(COUNTIF($H$5:$H$1004,H880)&gt;1,"DUPLICATE","UNIQUE"))</f>
        <v/>
      </c>
      <c r="AD880" s="32">
        <f>IF(A880="","",IF(AA880="Rejected",IF(AB880&lt;&gt;"","REJECTED","ADD REASON"),IF(AND(B880&lt;&gt;"",C880&lt;&gt;"",D880&lt;&gt;"",E880&lt;&gt;"",F880&lt;&gt;"",G880&lt;&gt;"",H880&lt;&gt;"",J880&lt;&gt;"",K880&lt;&gt;"",L880&lt;&gt;"",M880&lt;&gt;"",N880&lt;&gt;"",O880&lt;&gt;"",P880&lt;&gt;"",Q880&lt;&gt;"",R880&lt;&gt;"",S880&lt;&gt;"",T880&lt;&gt;"",U880&lt;&gt;"",V880&lt;&gt;"",W880&lt;&gt;"",X880&lt;&gt;"",Y880&lt;&gt;"",AC880="UNIQUE"),"READY","CHECK")))</f>
        <v/>
      </c>
    </row>
    <row r="881">
      <c r="A881" s="25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37" t="n"/>
      <c r="K881" s="34" t="n"/>
      <c r="L881" s="26" t="n"/>
      <c r="M881" s="37" t="n"/>
      <c r="N881" s="37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34" t="n"/>
      <c r="Y881" s="26" t="n"/>
      <c r="Z881" s="26" t="n"/>
      <c r="AA881" s="26" t="n"/>
      <c r="AB881" s="27" t="n"/>
      <c r="AC881" s="32">
        <f>IF(A881="","",IF(COUNTIF($H$5:$H$1004,H881)&gt;1,"DUPLICATE","UNIQUE"))</f>
        <v/>
      </c>
      <c r="AD881" s="32">
        <f>IF(A881="","",IF(AA881="Rejected",IF(AB881&lt;&gt;"","REJECTED","ADD REASON"),IF(AND(B881&lt;&gt;"",C881&lt;&gt;"",D881&lt;&gt;"",E881&lt;&gt;"",F881&lt;&gt;"",G881&lt;&gt;"",H881&lt;&gt;"",J881&lt;&gt;"",K881&lt;&gt;"",L881&lt;&gt;"",M881&lt;&gt;"",N881&lt;&gt;"",O881&lt;&gt;"",P881&lt;&gt;"",Q881&lt;&gt;"",R881&lt;&gt;"",S881&lt;&gt;"",T881&lt;&gt;"",U881&lt;&gt;"",V881&lt;&gt;"",W881&lt;&gt;"",X881&lt;&gt;"",Y881&lt;&gt;"",AC881="UNIQUE"),"READY","CHECK")))</f>
        <v/>
      </c>
    </row>
    <row r="882">
      <c r="A882" s="25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37" t="n"/>
      <c r="K882" s="34" t="n"/>
      <c r="L882" s="26" t="n"/>
      <c r="M882" s="37" t="n"/>
      <c r="N882" s="37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34" t="n"/>
      <c r="Y882" s="26" t="n"/>
      <c r="Z882" s="26" t="n"/>
      <c r="AA882" s="26" t="n"/>
      <c r="AB882" s="27" t="n"/>
      <c r="AC882" s="32">
        <f>IF(A882="","",IF(COUNTIF($H$5:$H$1004,H882)&gt;1,"DUPLICATE","UNIQUE"))</f>
        <v/>
      </c>
      <c r="AD882" s="32">
        <f>IF(A882="","",IF(AA882="Rejected",IF(AB882&lt;&gt;"","REJECTED","ADD REASON"),IF(AND(B882&lt;&gt;"",C882&lt;&gt;"",D882&lt;&gt;"",E882&lt;&gt;"",F882&lt;&gt;"",G882&lt;&gt;"",H882&lt;&gt;"",J882&lt;&gt;"",K882&lt;&gt;"",L882&lt;&gt;"",M882&lt;&gt;"",N882&lt;&gt;"",O882&lt;&gt;"",P882&lt;&gt;"",Q882&lt;&gt;"",R882&lt;&gt;"",S882&lt;&gt;"",T882&lt;&gt;"",U882&lt;&gt;"",V882&lt;&gt;"",W882&lt;&gt;"",X882&lt;&gt;"",Y882&lt;&gt;"",AC882="UNIQUE"),"READY","CHECK")))</f>
        <v/>
      </c>
    </row>
    <row r="883">
      <c r="A883" s="25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37" t="n"/>
      <c r="K883" s="34" t="n"/>
      <c r="L883" s="26" t="n"/>
      <c r="M883" s="37" t="n"/>
      <c r="N883" s="37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34" t="n"/>
      <c r="Y883" s="26" t="n"/>
      <c r="Z883" s="26" t="n"/>
      <c r="AA883" s="26" t="n"/>
      <c r="AB883" s="27" t="n"/>
      <c r="AC883" s="32">
        <f>IF(A883="","",IF(COUNTIF($H$5:$H$1004,H883)&gt;1,"DUPLICATE","UNIQUE"))</f>
        <v/>
      </c>
      <c r="AD883" s="32">
        <f>IF(A883="","",IF(AA883="Rejected",IF(AB883&lt;&gt;"","REJECTED","ADD REASON"),IF(AND(B883&lt;&gt;"",C883&lt;&gt;"",D883&lt;&gt;"",E883&lt;&gt;"",F883&lt;&gt;"",G883&lt;&gt;"",H883&lt;&gt;"",J883&lt;&gt;"",K883&lt;&gt;"",L883&lt;&gt;"",M883&lt;&gt;"",N883&lt;&gt;"",O883&lt;&gt;"",P883&lt;&gt;"",Q883&lt;&gt;"",R883&lt;&gt;"",S883&lt;&gt;"",T883&lt;&gt;"",U883&lt;&gt;"",V883&lt;&gt;"",W883&lt;&gt;"",X883&lt;&gt;"",Y883&lt;&gt;"",AC883="UNIQUE"),"READY","CHECK")))</f>
        <v/>
      </c>
    </row>
    <row r="884">
      <c r="A884" s="25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37" t="n"/>
      <c r="K884" s="34" t="n"/>
      <c r="L884" s="26" t="n"/>
      <c r="M884" s="37" t="n"/>
      <c r="N884" s="37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34" t="n"/>
      <c r="Y884" s="26" t="n"/>
      <c r="Z884" s="26" t="n"/>
      <c r="AA884" s="26" t="n"/>
      <c r="AB884" s="27" t="n"/>
      <c r="AC884" s="32">
        <f>IF(A884="","",IF(COUNTIF($H$5:$H$1004,H884)&gt;1,"DUPLICATE","UNIQUE"))</f>
        <v/>
      </c>
      <c r="AD884" s="32">
        <f>IF(A884="","",IF(AA884="Rejected",IF(AB884&lt;&gt;"","REJECTED","ADD REASON"),IF(AND(B884&lt;&gt;"",C884&lt;&gt;"",D884&lt;&gt;"",E884&lt;&gt;"",F884&lt;&gt;"",G884&lt;&gt;"",H884&lt;&gt;"",J884&lt;&gt;"",K884&lt;&gt;"",L884&lt;&gt;"",M884&lt;&gt;"",N884&lt;&gt;"",O884&lt;&gt;"",P884&lt;&gt;"",Q884&lt;&gt;"",R884&lt;&gt;"",S884&lt;&gt;"",T884&lt;&gt;"",U884&lt;&gt;"",V884&lt;&gt;"",W884&lt;&gt;"",X884&lt;&gt;"",Y884&lt;&gt;"",AC884="UNIQUE"),"READY","CHECK")))</f>
        <v/>
      </c>
    </row>
    <row r="885">
      <c r="A885" s="25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37" t="n"/>
      <c r="K885" s="34" t="n"/>
      <c r="L885" s="26" t="n"/>
      <c r="M885" s="37" t="n"/>
      <c r="N885" s="37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34" t="n"/>
      <c r="Y885" s="26" t="n"/>
      <c r="Z885" s="26" t="n"/>
      <c r="AA885" s="26" t="n"/>
      <c r="AB885" s="27" t="n"/>
      <c r="AC885" s="32">
        <f>IF(A885="","",IF(COUNTIF($H$5:$H$1004,H885)&gt;1,"DUPLICATE","UNIQUE"))</f>
        <v/>
      </c>
      <c r="AD885" s="32">
        <f>IF(A885="","",IF(AA885="Rejected",IF(AB885&lt;&gt;"","REJECTED","ADD REASON"),IF(AND(B885&lt;&gt;"",C885&lt;&gt;"",D885&lt;&gt;"",E885&lt;&gt;"",F885&lt;&gt;"",G885&lt;&gt;"",H885&lt;&gt;"",J885&lt;&gt;"",K885&lt;&gt;"",L885&lt;&gt;"",M885&lt;&gt;"",N885&lt;&gt;"",O885&lt;&gt;"",P885&lt;&gt;"",Q885&lt;&gt;"",R885&lt;&gt;"",S885&lt;&gt;"",T885&lt;&gt;"",U885&lt;&gt;"",V885&lt;&gt;"",W885&lt;&gt;"",X885&lt;&gt;"",Y885&lt;&gt;"",AC885="UNIQUE"),"READY","CHECK")))</f>
        <v/>
      </c>
    </row>
    <row r="886">
      <c r="A886" s="25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37" t="n"/>
      <c r="K886" s="34" t="n"/>
      <c r="L886" s="26" t="n"/>
      <c r="M886" s="37" t="n"/>
      <c r="N886" s="37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34" t="n"/>
      <c r="Y886" s="26" t="n"/>
      <c r="Z886" s="26" t="n"/>
      <c r="AA886" s="26" t="n"/>
      <c r="AB886" s="27" t="n"/>
      <c r="AC886" s="32">
        <f>IF(A886="","",IF(COUNTIF($H$5:$H$1004,H886)&gt;1,"DUPLICATE","UNIQUE"))</f>
        <v/>
      </c>
      <c r="AD886" s="32">
        <f>IF(A886="","",IF(AA886="Rejected",IF(AB886&lt;&gt;"","REJECTED","ADD REASON"),IF(AND(B886&lt;&gt;"",C886&lt;&gt;"",D886&lt;&gt;"",E886&lt;&gt;"",F886&lt;&gt;"",G886&lt;&gt;"",H886&lt;&gt;"",J886&lt;&gt;"",K886&lt;&gt;"",L886&lt;&gt;"",M886&lt;&gt;"",N886&lt;&gt;"",O886&lt;&gt;"",P886&lt;&gt;"",Q886&lt;&gt;"",R886&lt;&gt;"",S886&lt;&gt;"",T886&lt;&gt;"",U886&lt;&gt;"",V886&lt;&gt;"",W886&lt;&gt;"",X886&lt;&gt;"",Y886&lt;&gt;"",AC886="UNIQUE"),"READY","CHECK")))</f>
        <v/>
      </c>
    </row>
    <row r="887">
      <c r="A887" s="25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37" t="n"/>
      <c r="K887" s="34" t="n"/>
      <c r="L887" s="26" t="n"/>
      <c r="M887" s="37" t="n"/>
      <c r="N887" s="37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34" t="n"/>
      <c r="Y887" s="26" t="n"/>
      <c r="Z887" s="26" t="n"/>
      <c r="AA887" s="26" t="n"/>
      <c r="AB887" s="27" t="n"/>
      <c r="AC887" s="32">
        <f>IF(A887="","",IF(COUNTIF($H$5:$H$1004,H887)&gt;1,"DUPLICATE","UNIQUE"))</f>
        <v/>
      </c>
      <c r="AD887" s="32">
        <f>IF(A887="","",IF(AA887="Rejected",IF(AB887&lt;&gt;"","REJECTED","ADD REASON"),IF(AND(B887&lt;&gt;"",C887&lt;&gt;"",D887&lt;&gt;"",E887&lt;&gt;"",F887&lt;&gt;"",G887&lt;&gt;"",H887&lt;&gt;"",J887&lt;&gt;"",K887&lt;&gt;"",L887&lt;&gt;"",M887&lt;&gt;"",N887&lt;&gt;"",O887&lt;&gt;"",P887&lt;&gt;"",Q887&lt;&gt;"",R887&lt;&gt;"",S887&lt;&gt;"",T887&lt;&gt;"",U887&lt;&gt;"",V887&lt;&gt;"",W887&lt;&gt;"",X887&lt;&gt;"",Y887&lt;&gt;"",AC887="UNIQUE"),"READY","CHECK")))</f>
        <v/>
      </c>
    </row>
    <row r="888">
      <c r="A888" s="25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37" t="n"/>
      <c r="K888" s="34" t="n"/>
      <c r="L888" s="26" t="n"/>
      <c r="M888" s="37" t="n"/>
      <c r="N888" s="37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34" t="n"/>
      <c r="Y888" s="26" t="n"/>
      <c r="Z888" s="26" t="n"/>
      <c r="AA888" s="26" t="n"/>
      <c r="AB888" s="27" t="n"/>
      <c r="AC888" s="32">
        <f>IF(A888="","",IF(COUNTIF($H$5:$H$1004,H888)&gt;1,"DUPLICATE","UNIQUE"))</f>
        <v/>
      </c>
      <c r="AD888" s="32">
        <f>IF(A888="","",IF(AA888="Rejected",IF(AB888&lt;&gt;"","REJECTED","ADD REASON"),IF(AND(B888&lt;&gt;"",C888&lt;&gt;"",D888&lt;&gt;"",E888&lt;&gt;"",F888&lt;&gt;"",G888&lt;&gt;"",H888&lt;&gt;"",J888&lt;&gt;"",K888&lt;&gt;"",L888&lt;&gt;"",M888&lt;&gt;"",N888&lt;&gt;"",O888&lt;&gt;"",P888&lt;&gt;"",Q888&lt;&gt;"",R888&lt;&gt;"",S888&lt;&gt;"",T888&lt;&gt;"",U888&lt;&gt;"",V888&lt;&gt;"",W888&lt;&gt;"",X888&lt;&gt;"",Y888&lt;&gt;"",AC888="UNIQUE"),"READY","CHECK")))</f>
        <v/>
      </c>
    </row>
    <row r="889">
      <c r="A889" s="25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37" t="n"/>
      <c r="K889" s="34" t="n"/>
      <c r="L889" s="26" t="n"/>
      <c r="M889" s="37" t="n"/>
      <c r="N889" s="37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34" t="n"/>
      <c r="Y889" s="26" t="n"/>
      <c r="Z889" s="26" t="n"/>
      <c r="AA889" s="26" t="n"/>
      <c r="AB889" s="27" t="n"/>
      <c r="AC889" s="32">
        <f>IF(A889="","",IF(COUNTIF($H$5:$H$1004,H889)&gt;1,"DUPLICATE","UNIQUE"))</f>
        <v/>
      </c>
      <c r="AD889" s="32">
        <f>IF(A889="","",IF(AA889="Rejected",IF(AB889&lt;&gt;"","REJECTED","ADD REASON"),IF(AND(B889&lt;&gt;"",C889&lt;&gt;"",D889&lt;&gt;"",E889&lt;&gt;"",F889&lt;&gt;"",G889&lt;&gt;"",H889&lt;&gt;"",J889&lt;&gt;"",K889&lt;&gt;"",L889&lt;&gt;"",M889&lt;&gt;"",N889&lt;&gt;"",O889&lt;&gt;"",P889&lt;&gt;"",Q889&lt;&gt;"",R889&lt;&gt;"",S889&lt;&gt;"",T889&lt;&gt;"",U889&lt;&gt;"",V889&lt;&gt;"",W889&lt;&gt;"",X889&lt;&gt;"",Y889&lt;&gt;"",AC889="UNIQUE"),"READY","CHECK")))</f>
        <v/>
      </c>
    </row>
    <row r="890">
      <c r="A890" s="25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37" t="n"/>
      <c r="K890" s="34" t="n"/>
      <c r="L890" s="26" t="n"/>
      <c r="M890" s="37" t="n"/>
      <c r="N890" s="37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34" t="n"/>
      <c r="Y890" s="26" t="n"/>
      <c r="Z890" s="26" t="n"/>
      <c r="AA890" s="26" t="n"/>
      <c r="AB890" s="27" t="n"/>
      <c r="AC890" s="32">
        <f>IF(A890="","",IF(COUNTIF($H$5:$H$1004,H890)&gt;1,"DUPLICATE","UNIQUE"))</f>
        <v/>
      </c>
      <c r="AD890" s="32">
        <f>IF(A890="","",IF(AA890="Rejected",IF(AB890&lt;&gt;"","REJECTED","ADD REASON"),IF(AND(B890&lt;&gt;"",C890&lt;&gt;"",D890&lt;&gt;"",E890&lt;&gt;"",F890&lt;&gt;"",G890&lt;&gt;"",H890&lt;&gt;"",J890&lt;&gt;"",K890&lt;&gt;"",L890&lt;&gt;"",M890&lt;&gt;"",N890&lt;&gt;"",O890&lt;&gt;"",P890&lt;&gt;"",Q890&lt;&gt;"",R890&lt;&gt;"",S890&lt;&gt;"",T890&lt;&gt;"",U890&lt;&gt;"",V890&lt;&gt;"",W890&lt;&gt;"",X890&lt;&gt;"",Y890&lt;&gt;"",AC890="UNIQUE"),"READY","CHECK")))</f>
        <v/>
      </c>
    </row>
    <row r="891">
      <c r="A891" s="25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37" t="n"/>
      <c r="K891" s="34" t="n"/>
      <c r="L891" s="26" t="n"/>
      <c r="M891" s="37" t="n"/>
      <c r="N891" s="37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34" t="n"/>
      <c r="Y891" s="26" t="n"/>
      <c r="Z891" s="26" t="n"/>
      <c r="AA891" s="26" t="n"/>
      <c r="AB891" s="27" t="n"/>
      <c r="AC891" s="32">
        <f>IF(A891="","",IF(COUNTIF($H$5:$H$1004,H891)&gt;1,"DUPLICATE","UNIQUE"))</f>
        <v/>
      </c>
      <c r="AD891" s="32">
        <f>IF(A891="","",IF(AA891="Rejected",IF(AB891&lt;&gt;"","REJECTED","ADD REASON"),IF(AND(B891&lt;&gt;"",C891&lt;&gt;"",D891&lt;&gt;"",E891&lt;&gt;"",F891&lt;&gt;"",G891&lt;&gt;"",H891&lt;&gt;"",J891&lt;&gt;"",K891&lt;&gt;"",L891&lt;&gt;"",M891&lt;&gt;"",N891&lt;&gt;"",O891&lt;&gt;"",P891&lt;&gt;"",Q891&lt;&gt;"",R891&lt;&gt;"",S891&lt;&gt;"",T891&lt;&gt;"",U891&lt;&gt;"",V891&lt;&gt;"",W891&lt;&gt;"",X891&lt;&gt;"",Y891&lt;&gt;"",AC891="UNIQUE"),"READY","CHECK")))</f>
        <v/>
      </c>
    </row>
    <row r="892">
      <c r="A892" s="25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37" t="n"/>
      <c r="K892" s="34" t="n"/>
      <c r="L892" s="26" t="n"/>
      <c r="M892" s="37" t="n"/>
      <c r="N892" s="37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34" t="n"/>
      <c r="Y892" s="26" t="n"/>
      <c r="Z892" s="26" t="n"/>
      <c r="AA892" s="26" t="n"/>
      <c r="AB892" s="27" t="n"/>
      <c r="AC892" s="32">
        <f>IF(A892="","",IF(COUNTIF($H$5:$H$1004,H892)&gt;1,"DUPLICATE","UNIQUE"))</f>
        <v/>
      </c>
      <c r="AD892" s="32">
        <f>IF(A892="","",IF(AA892="Rejected",IF(AB892&lt;&gt;"","REJECTED","ADD REASON"),IF(AND(B892&lt;&gt;"",C892&lt;&gt;"",D892&lt;&gt;"",E892&lt;&gt;"",F892&lt;&gt;"",G892&lt;&gt;"",H892&lt;&gt;"",J892&lt;&gt;"",K892&lt;&gt;"",L892&lt;&gt;"",M892&lt;&gt;"",N892&lt;&gt;"",O892&lt;&gt;"",P892&lt;&gt;"",Q892&lt;&gt;"",R892&lt;&gt;"",S892&lt;&gt;"",T892&lt;&gt;"",U892&lt;&gt;"",V892&lt;&gt;"",W892&lt;&gt;"",X892&lt;&gt;"",Y892&lt;&gt;"",AC892="UNIQUE"),"READY","CHECK")))</f>
        <v/>
      </c>
    </row>
    <row r="893">
      <c r="A893" s="25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37" t="n"/>
      <c r="K893" s="34" t="n"/>
      <c r="L893" s="26" t="n"/>
      <c r="M893" s="37" t="n"/>
      <c r="N893" s="37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34" t="n"/>
      <c r="Y893" s="26" t="n"/>
      <c r="Z893" s="26" t="n"/>
      <c r="AA893" s="26" t="n"/>
      <c r="AB893" s="27" t="n"/>
      <c r="AC893" s="32">
        <f>IF(A893="","",IF(COUNTIF($H$5:$H$1004,H893)&gt;1,"DUPLICATE","UNIQUE"))</f>
        <v/>
      </c>
      <c r="AD893" s="32">
        <f>IF(A893="","",IF(AA893="Rejected",IF(AB893&lt;&gt;"","REJECTED","ADD REASON"),IF(AND(B893&lt;&gt;"",C893&lt;&gt;"",D893&lt;&gt;"",E893&lt;&gt;"",F893&lt;&gt;"",G893&lt;&gt;"",H893&lt;&gt;"",J893&lt;&gt;"",K893&lt;&gt;"",L893&lt;&gt;"",M893&lt;&gt;"",N893&lt;&gt;"",O893&lt;&gt;"",P893&lt;&gt;"",Q893&lt;&gt;"",R893&lt;&gt;"",S893&lt;&gt;"",T893&lt;&gt;"",U893&lt;&gt;"",V893&lt;&gt;"",W893&lt;&gt;"",X893&lt;&gt;"",Y893&lt;&gt;"",AC893="UNIQUE"),"READY","CHECK")))</f>
        <v/>
      </c>
    </row>
    <row r="894">
      <c r="A894" s="25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37" t="n"/>
      <c r="K894" s="34" t="n"/>
      <c r="L894" s="26" t="n"/>
      <c r="M894" s="37" t="n"/>
      <c r="N894" s="37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34" t="n"/>
      <c r="Y894" s="26" t="n"/>
      <c r="Z894" s="26" t="n"/>
      <c r="AA894" s="26" t="n"/>
      <c r="AB894" s="27" t="n"/>
      <c r="AC894" s="32">
        <f>IF(A894="","",IF(COUNTIF($H$5:$H$1004,H894)&gt;1,"DUPLICATE","UNIQUE"))</f>
        <v/>
      </c>
      <c r="AD894" s="32">
        <f>IF(A894="","",IF(AA894="Rejected",IF(AB894&lt;&gt;"","REJECTED","ADD REASON"),IF(AND(B894&lt;&gt;"",C894&lt;&gt;"",D894&lt;&gt;"",E894&lt;&gt;"",F894&lt;&gt;"",G894&lt;&gt;"",H894&lt;&gt;"",J894&lt;&gt;"",K894&lt;&gt;"",L894&lt;&gt;"",M894&lt;&gt;"",N894&lt;&gt;"",O894&lt;&gt;"",P894&lt;&gt;"",Q894&lt;&gt;"",R894&lt;&gt;"",S894&lt;&gt;"",T894&lt;&gt;"",U894&lt;&gt;"",V894&lt;&gt;"",W894&lt;&gt;"",X894&lt;&gt;"",Y894&lt;&gt;"",AC894="UNIQUE"),"READY","CHECK")))</f>
        <v/>
      </c>
    </row>
    <row r="895">
      <c r="A895" s="25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37" t="n"/>
      <c r="K895" s="34" t="n"/>
      <c r="L895" s="26" t="n"/>
      <c r="M895" s="37" t="n"/>
      <c r="N895" s="37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34" t="n"/>
      <c r="Y895" s="26" t="n"/>
      <c r="Z895" s="26" t="n"/>
      <c r="AA895" s="26" t="n"/>
      <c r="AB895" s="27" t="n"/>
      <c r="AC895" s="32">
        <f>IF(A895="","",IF(COUNTIF($H$5:$H$1004,H895)&gt;1,"DUPLICATE","UNIQUE"))</f>
        <v/>
      </c>
      <c r="AD895" s="32">
        <f>IF(A895="","",IF(AA895="Rejected",IF(AB895&lt;&gt;"","REJECTED","ADD REASON"),IF(AND(B895&lt;&gt;"",C895&lt;&gt;"",D895&lt;&gt;"",E895&lt;&gt;"",F895&lt;&gt;"",G895&lt;&gt;"",H895&lt;&gt;"",J895&lt;&gt;"",K895&lt;&gt;"",L895&lt;&gt;"",M895&lt;&gt;"",N895&lt;&gt;"",O895&lt;&gt;"",P895&lt;&gt;"",Q895&lt;&gt;"",R895&lt;&gt;"",S895&lt;&gt;"",T895&lt;&gt;"",U895&lt;&gt;"",V895&lt;&gt;"",W895&lt;&gt;"",X895&lt;&gt;"",Y895&lt;&gt;"",AC895="UNIQUE"),"READY","CHECK")))</f>
        <v/>
      </c>
    </row>
    <row r="896">
      <c r="A896" s="25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37" t="n"/>
      <c r="K896" s="34" t="n"/>
      <c r="L896" s="26" t="n"/>
      <c r="M896" s="37" t="n"/>
      <c r="N896" s="37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34" t="n"/>
      <c r="Y896" s="26" t="n"/>
      <c r="Z896" s="26" t="n"/>
      <c r="AA896" s="26" t="n"/>
      <c r="AB896" s="27" t="n"/>
      <c r="AC896" s="32">
        <f>IF(A896="","",IF(COUNTIF($H$5:$H$1004,H896)&gt;1,"DUPLICATE","UNIQUE"))</f>
        <v/>
      </c>
      <c r="AD896" s="32">
        <f>IF(A896="","",IF(AA896="Rejected",IF(AB896&lt;&gt;"","REJECTED","ADD REASON"),IF(AND(B896&lt;&gt;"",C896&lt;&gt;"",D896&lt;&gt;"",E896&lt;&gt;"",F896&lt;&gt;"",G896&lt;&gt;"",H896&lt;&gt;"",J896&lt;&gt;"",K896&lt;&gt;"",L896&lt;&gt;"",M896&lt;&gt;"",N896&lt;&gt;"",O896&lt;&gt;"",P896&lt;&gt;"",Q896&lt;&gt;"",R896&lt;&gt;"",S896&lt;&gt;"",T896&lt;&gt;"",U896&lt;&gt;"",V896&lt;&gt;"",W896&lt;&gt;"",X896&lt;&gt;"",Y896&lt;&gt;"",AC896="UNIQUE"),"READY","CHECK")))</f>
        <v/>
      </c>
    </row>
    <row r="897">
      <c r="A897" s="25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37" t="n"/>
      <c r="K897" s="34" t="n"/>
      <c r="L897" s="26" t="n"/>
      <c r="M897" s="37" t="n"/>
      <c r="N897" s="37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34" t="n"/>
      <c r="Y897" s="26" t="n"/>
      <c r="Z897" s="26" t="n"/>
      <c r="AA897" s="26" t="n"/>
      <c r="AB897" s="27" t="n"/>
      <c r="AC897" s="32">
        <f>IF(A897="","",IF(COUNTIF($H$5:$H$1004,H897)&gt;1,"DUPLICATE","UNIQUE"))</f>
        <v/>
      </c>
      <c r="AD897" s="32">
        <f>IF(A897="","",IF(AA897="Rejected",IF(AB897&lt;&gt;"","REJECTED","ADD REASON"),IF(AND(B897&lt;&gt;"",C897&lt;&gt;"",D897&lt;&gt;"",E897&lt;&gt;"",F897&lt;&gt;"",G897&lt;&gt;"",H897&lt;&gt;"",J897&lt;&gt;"",K897&lt;&gt;"",L897&lt;&gt;"",M897&lt;&gt;"",N897&lt;&gt;"",O897&lt;&gt;"",P897&lt;&gt;"",Q897&lt;&gt;"",R897&lt;&gt;"",S897&lt;&gt;"",T897&lt;&gt;"",U897&lt;&gt;"",V897&lt;&gt;"",W897&lt;&gt;"",X897&lt;&gt;"",Y897&lt;&gt;"",AC897="UNIQUE"),"READY","CHECK")))</f>
        <v/>
      </c>
    </row>
    <row r="898">
      <c r="A898" s="25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37" t="n"/>
      <c r="K898" s="34" t="n"/>
      <c r="L898" s="26" t="n"/>
      <c r="M898" s="37" t="n"/>
      <c r="N898" s="37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34" t="n"/>
      <c r="Y898" s="26" t="n"/>
      <c r="Z898" s="26" t="n"/>
      <c r="AA898" s="26" t="n"/>
      <c r="AB898" s="27" t="n"/>
      <c r="AC898" s="32">
        <f>IF(A898="","",IF(COUNTIF($H$5:$H$1004,H898)&gt;1,"DUPLICATE","UNIQUE"))</f>
        <v/>
      </c>
      <c r="AD898" s="32">
        <f>IF(A898="","",IF(AA898="Rejected",IF(AB898&lt;&gt;"","REJECTED","ADD REASON"),IF(AND(B898&lt;&gt;"",C898&lt;&gt;"",D898&lt;&gt;"",E898&lt;&gt;"",F898&lt;&gt;"",G898&lt;&gt;"",H898&lt;&gt;"",J898&lt;&gt;"",K898&lt;&gt;"",L898&lt;&gt;"",M898&lt;&gt;"",N898&lt;&gt;"",O898&lt;&gt;"",P898&lt;&gt;"",Q898&lt;&gt;"",R898&lt;&gt;"",S898&lt;&gt;"",T898&lt;&gt;"",U898&lt;&gt;"",V898&lt;&gt;"",W898&lt;&gt;"",X898&lt;&gt;"",Y898&lt;&gt;"",AC898="UNIQUE"),"READY","CHECK")))</f>
        <v/>
      </c>
    </row>
    <row r="899">
      <c r="A899" s="25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37" t="n"/>
      <c r="K899" s="34" t="n"/>
      <c r="L899" s="26" t="n"/>
      <c r="M899" s="37" t="n"/>
      <c r="N899" s="37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34" t="n"/>
      <c r="Y899" s="26" t="n"/>
      <c r="Z899" s="26" t="n"/>
      <c r="AA899" s="26" t="n"/>
      <c r="AB899" s="27" t="n"/>
      <c r="AC899" s="32">
        <f>IF(A899="","",IF(COUNTIF($H$5:$H$1004,H899)&gt;1,"DUPLICATE","UNIQUE"))</f>
        <v/>
      </c>
      <c r="AD899" s="32">
        <f>IF(A899="","",IF(AA899="Rejected",IF(AB899&lt;&gt;"","REJECTED","ADD REASON"),IF(AND(B899&lt;&gt;"",C899&lt;&gt;"",D899&lt;&gt;"",E899&lt;&gt;"",F899&lt;&gt;"",G899&lt;&gt;"",H899&lt;&gt;"",J899&lt;&gt;"",K899&lt;&gt;"",L899&lt;&gt;"",M899&lt;&gt;"",N899&lt;&gt;"",O899&lt;&gt;"",P899&lt;&gt;"",Q899&lt;&gt;"",R899&lt;&gt;"",S899&lt;&gt;"",T899&lt;&gt;"",U899&lt;&gt;"",V899&lt;&gt;"",W899&lt;&gt;"",X899&lt;&gt;"",Y899&lt;&gt;"",AC899="UNIQUE"),"READY","CHECK")))</f>
        <v/>
      </c>
    </row>
    <row r="900">
      <c r="A900" s="25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37" t="n"/>
      <c r="K900" s="34" t="n"/>
      <c r="L900" s="26" t="n"/>
      <c r="M900" s="37" t="n"/>
      <c r="N900" s="37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34" t="n"/>
      <c r="Y900" s="26" t="n"/>
      <c r="Z900" s="26" t="n"/>
      <c r="AA900" s="26" t="n"/>
      <c r="AB900" s="27" t="n"/>
      <c r="AC900" s="32">
        <f>IF(A900="","",IF(COUNTIF($H$5:$H$1004,H900)&gt;1,"DUPLICATE","UNIQUE"))</f>
        <v/>
      </c>
      <c r="AD900" s="32">
        <f>IF(A900="","",IF(AA900="Rejected",IF(AB900&lt;&gt;"","REJECTED","ADD REASON"),IF(AND(B900&lt;&gt;"",C900&lt;&gt;"",D900&lt;&gt;"",E900&lt;&gt;"",F900&lt;&gt;"",G900&lt;&gt;"",H900&lt;&gt;"",J900&lt;&gt;"",K900&lt;&gt;"",L900&lt;&gt;"",M900&lt;&gt;"",N900&lt;&gt;"",O900&lt;&gt;"",P900&lt;&gt;"",Q900&lt;&gt;"",R900&lt;&gt;"",S900&lt;&gt;"",T900&lt;&gt;"",U900&lt;&gt;"",V900&lt;&gt;"",W900&lt;&gt;"",X900&lt;&gt;"",Y900&lt;&gt;"",AC900="UNIQUE"),"READY","CHECK")))</f>
        <v/>
      </c>
    </row>
    <row r="901">
      <c r="A901" s="25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37" t="n"/>
      <c r="K901" s="34" t="n"/>
      <c r="L901" s="26" t="n"/>
      <c r="M901" s="37" t="n"/>
      <c r="N901" s="37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34" t="n"/>
      <c r="Y901" s="26" t="n"/>
      <c r="Z901" s="26" t="n"/>
      <c r="AA901" s="26" t="n"/>
      <c r="AB901" s="27" t="n"/>
      <c r="AC901" s="32">
        <f>IF(A901="","",IF(COUNTIF($H$5:$H$1004,H901)&gt;1,"DUPLICATE","UNIQUE"))</f>
        <v/>
      </c>
      <c r="AD901" s="32">
        <f>IF(A901="","",IF(AA901="Rejected",IF(AB901&lt;&gt;"","REJECTED","ADD REASON"),IF(AND(B901&lt;&gt;"",C901&lt;&gt;"",D901&lt;&gt;"",E901&lt;&gt;"",F901&lt;&gt;"",G901&lt;&gt;"",H901&lt;&gt;"",J901&lt;&gt;"",K901&lt;&gt;"",L901&lt;&gt;"",M901&lt;&gt;"",N901&lt;&gt;"",O901&lt;&gt;"",P901&lt;&gt;"",Q901&lt;&gt;"",R901&lt;&gt;"",S901&lt;&gt;"",T901&lt;&gt;"",U901&lt;&gt;"",V901&lt;&gt;"",W901&lt;&gt;"",X901&lt;&gt;"",Y901&lt;&gt;"",AC901="UNIQUE"),"READY","CHECK")))</f>
        <v/>
      </c>
    </row>
    <row r="902">
      <c r="A902" s="25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37" t="n"/>
      <c r="K902" s="34" t="n"/>
      <c r="L902" s="26" t="n"/>
      <c r="M902" s="37" t="n"/>
      <c r="N902" s="37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34" t="n"/>
      <c r="Y902" s="26" t="n"/>
      <c r="Z902" s="26" t="n"/>
      <c r="AA902" s="26" t="n"/>
      <c r="AB902" s="27" t="n"/>
      <c r="AC902" s="32">
        <f>IF(A902="","",IF(COUNTIF($H$5:$H$1004,H902)&gt;1,"DUPLICATE","UNIQUE"))</f>
        <v/>
      </c>
      <c r="AD902" s="32">
        <f>IF(A902="","",IF(AA902="Rejected",IF(AB902&lt;&gt;"","REJECTED","ADD REASON"),IF(AND(B902&lt;&gt;"",C902&lt;&gt;"",D902&lt;&gt;"",E902&lt;&gt;"",F902&lt;&gt;"",G902&lt;&gt;"",H902&lt;&gt;"",J902&lt;&gt;"",K902&lt;&gt;"",L902&lt;&gt;"",M902&lt;&gt;"",N902&lt;&gt;"",O902&lt;&gt;"",P902&lt;&gt;"",Q902&lt;&gt;"",R902&lt;&gt;"",S902&lt;&gt;"",T902&lt;&gt;"",U902&lt;&gt;"",V902&lt;&gt;"",W902&lt;&gt;"",X902&lt;&gt;"",Y902&lt;&gt;"",AC902="UNIQUE"),"READY","CHECK")))</f>
        <v/>
      </c>
    </row>
    <row r="903">
      <c r="A903" s="25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37" t="n"/>
      <c r="K903" s="34" t="n"/>
      <c r="L903" s="26" t="n"/>
      <c r="M903" s="37" t="n"/>
      <c r="N903" s="37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34" t="n"/>
      <c r="Y903" s="26" t="n"/>
      <c r="Z903" s="26" t="n"/>
      <c r="AA903" s="26" t="n"/>
      <c r="AB903" s="27" t="n"/>
      <c r="AC903" s="32">
        <f>IF(A903="","",IF(COUNTIF($H$5:$H$1004,H903)&gt;1,"DUPLICATE","UNIQUE"))</f>
        <v/>
      </c>
      <c r="AD903" s="32">
        <f>IF(A903="","",IF(AA903="Rejected",IF(AB903&lt;&gt;"","REJECTED","ADD REASON"),IF(AND(B903&lt;&gt;"",C903&lt;&gt;"",D903&lt;&gt;"",E903&lt;&gt;"",F903&lt;&gt;"",G903&lt;&gt;"",H903&lt;&gt;"",J903&lt;&gt;"",K903&lt;&gt;"",L903&lt;&gt;"",M903&lt;&gt;"",N903&lt;&gt;"",O903&lt;&gt;"",P903&lt;&gt;"",Q903&lt;&gt;"",R903&lt;&gt;"",S903&lt;&gt;"",T903&lt;&gt;"",U903&lt;&gt;"",V903&lt;&gt;"",W903&lt;&gt;"",X903&lt;&gt;"",Y903&lt;&gt;"",AC903="UNIQUE"),"READY","CHECK")))</f>
        <v/>
      </c>
    </row>
    <row r="904">
      <c r="A904" s="25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37" t="n"/>
      <c r="K904" s="34" t="n"/>
      <c r="L904" s="26" t="n"/>
      <c r="M904" s="37" t="n"/>
      <c r="N904" s="37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34" t="n"/>
      <c r="Y904" s="26" t="n"/>
      <c r="Z904" s="26" t="n"/>
      <c r="AA904" s="26" t="n"/>
      <c r="AB904" s="27" t="n"/>
      <c r="AC904" s="32">
        <f>IF(A904="","",IF(COUNTIF($H$5:$H$1004,H904)&gt;1,"DUPLICATE","UNIQUE"))</f>
        <v/>
      </c>
      <c r="AD904" s="32">
        <f>IF(A904="","",IF(AA904="Rejected",IF(AB904&lt;&gt;"","REJECTED","ADD REASON"),IF(AND(B904&lt;&gt;"",C904&lt;&gt;"",D904&lt;&gt;"",E904&lt;&gt;"",F904&lt;&gt;"",G904&lt;&gt;"",H904&lt;&gt;"",J904&lt;&gt;"",K904&lt;&gt;"",L904&lt;&gt;"",M904&lt;&gt;"",N904&lt;&gt;"",O904&lt;&gt;"",P904&lt;&gt;"",Q904&lt;&gt;"",R904&lt;&gt;"",S904&lt;&gt;"",T904&lt;&gt;"",U904&lt;&gt;"",V904&lt;&gt;"",W904&lt;&gt;"",X904&lt;&gt;"",Y904&lt;&gt;"",AC904="UNIQUE"),"READY","CHECK")))</f>
        <v/>
      </c>
    </row>
    <row r="905">
      <c r="A905" s="25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37" t="n"/>
      <c r="K905" s="34" t="n"/>
      <c r="L905" s="26" t="n"/>
      <c r="M905" s="37" t="n"/>
      <c r="N905" s="37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34" t="n"/>
      <c r="Y905" s="26" t="n"/>
      <c r="Z905" s="26" t="n"/>
      <c r="AA905" s="26" t="n"/>
      <c r="AB905" s="27" t="n"/>
      <c r="AC905" s="32">
        <f>IF(A905="","",IF(COUNTIF($H$5:$H$1004,H905)&gt;1,"DUPLICATE","UNIQUE"))</f>
        <v/>
      </c>
      <c r="AD905" s="32">
        <f>IF(A905="","",IF(AA905="Rejected",IF(AB905&lt;&gt;"","REJECTED","ADD REASON"),IF(AND(B905&lt;&gt;"",C905&lt;&gt;"",D905&lt;&gt;"",E905&lt;&gt;"",F905&lt;&gt;"",G905&lt;&gt;"",H905&lt;&gt;"",J905&lt;&gt;"",K905&lt;&gt;"",L905&lt;&gt;"",M905&lt;&gt;"",N905&lt;&gt;"",O905&lt;&gt;"",P905&lt;&gt;"",Q905&lt;&gt;"",R905&lt;&gt;"",S905&lt;&gt;"",T905&lt;&gt;"",U905&lt;&gt;"",V905&lt;&gt;"",W905&lt;&gt;"",X905&lt;&gt;"",Y905&lt;&gt;"",AC905="UNIQUE"),"READY","CHECK")))</f>
        <v/>
      </c>
    </row>
    <row r="906">
      <c r="A906" s="25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37" t="n"/>
      <c r="K906" s="34" t="n"/>
      <c r="L906" s="26" t="n"/>
      <c r="M906" s="37" t="n"/>
      <c r="N906" s="37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34" t="n"/>
      <c r="Y906" s="26" t="n"/>
      <c r="Z906" s="26" t="n"/>
      <c r="AA906" s="26" t="n"/>
      <c r="AB906" s="27" t="n"/>
      <c r="AC906" s="32">
        <f>IF(A906="","",IF(COUNTIF($H$5:$H$1004,H906)&gt;1,"DUPLICATE","UNIQUE"))</f>
        <v/>
      </c>
      <c r="AD906" s="32">
        <f>IF(A906="","",IF(AA906="Rejected",IF(AB906&lt;&gt;"","REJECTED","ADD REASON"),IF(AND(B906&lt;&gt;"",C906&lt;&gt;"",D906&lt;&gt;"",E906&lt;&gt;"",F906&lt;&gt;"",G906&lt;&gt;"",H906&lt;&gt;"",J906&lt;&gt;"",K906&lt;&gt;"",L906&lt;&gt;"",M906&lt;&gt;"",N906&lt;&gt;"",O906&lt;&gt;"",P906&lt;&gt;"",Q906&lt;&gt;"",R906&lt;&gt;"",S906&lt;&gt;"",T906&lt;&gt;"",U906&lt;&gt;"",V906&lt;&gt;"",W906&lt;&gt;"",X906&lt;&gt;"",Y906&lt;&gt;"",AC906="UNIQUE"),"READY","CHECK")))</f>
        <v/>
      </c>
    </row>
    <row r="907">
      <c r="A907" s="25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37" t="n"/>
      <c r="K907" s="34" t="n"/>
      <c r="L907" s="26" t="n"/>
      <c r="M907" s="37" t="n"/>
      <c r="N907" s="37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34" t="n"/>
      <c r="Y907" s="26" t="n"/>
      <c r="Z907" s="26" t="n"/>
      <c r="AA907" s="26" t="n"/>
      <c r="AB907" s="27" t="n"/>
      <c r="AC907" s="32">
        <f>IF(A907="","",IF(COUNTIF($H$5:$H$1004,H907)&gt;1,"DUPLICATE","UNIQUE"))</f>
        <v/>
      </c>
      <c r="AD907" s="32">
        <f>IF(A907="","",IF(AA907="Rejected",IF(AB907&lt;&gt;"","REJECTED","ADD REASON"),IF(AND(B907&lt;&gt;"",C907&lt;&gt;"",D907&lt;&gt;"",E907&lt;&gt;"",F907&lt;&gt;"",G907&lt;&gt;"",H907&lt;&gt;"",J907&lt;&gt;"",K907&lt;&gt;"",L907&lt;&gt;"",M907&lt;&gt;"",N907&lt;&gt;"",O907&lt;&gt;"",P907&lt;&gt;"",Q907&lt;&gt;"",R907&lt;&gt;"",S907&lt;&gt;"",T907&lt;&gt;"",U907&lt;&gt;"",V907&lt;&gt;"",W907&lt;&gt;"",X907&lt;&gt;"",Y907&lt;&gt;"",AC907="UNIQUE"),"READY","CHECK")))</f>
        <v/>
      </c>
    </row>
    <row r="908">
      <c r="A908" s="25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37" t="n"/>
      <c r="K908" s="34" t="n"/>
      <c r="L908" s="26" t="n"/>
      <c r="M908" s="37" t="n"/>
      <c r="N908" s="37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34" t="n"/>
      <c r="Y908" s="26" t="n"/>
      <c r="Z908" s="26" t="n"/>
      <c r="AA908" s="26" t="n"/>
      <c r="AB908" s="27" t="n"/>
      <c r="AC908" s="32">
        <f>IF(A908="","",IF(COUNTIF($H$5:$H$1004,H908)&gt;1,"DUPLICATE","UNIQUE"))</f>
        <v/>
      </c>
      <c r="AD908" s="32">
        <f>IF(A908="","",IF(AA908="Rejected",IF(AB908&lt;&gt;"","REJECTED","ADD REASON"),IF(AND(B908&lt;&gt;"",C908&lt;&gt;"",D908&lt;&gt;"",E908&lt;&gt;"",F908&lt;&gt;"",G908&lt;&gt;"",H908&lt;&gt;"",J908&lt;&gt;"",K908&lt;&gt;"",L908&lt;&gt;"",M908&lt;&gt;"",N908&lt;&gt;"",O908&lt;&gt;"",P908&lt;&gt;"",Q908&lt;&gt;"",R908&lt;&gt;"",S908&lt;&gt;"",T908&lt;&gt;"",U908&lt;&gt;"",V908&lt;&gt;"",W908&lt;&gt;"",X908&lt;&gt;"",Y908&lt;&gt;"",AC908="UNIQUE"),"READY","CHECK")))</f>
        <v/>
      </c>
    </row>
    <row r="909">
      <c r="A909" s="25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37" t="n"/>
      <c r="K909" s="34" t="n"/>
      <c r="L909" s="26" t="n"/>
      <c r="M909" s="37" t="n"/>
      <c r="N909" s="37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34" t="n"/>
      <c r="Y909" s="26" t="n"/>
      <c r="Z909" s="26" t="n"/>
      <c r="AA909" s="26" t="n"/>
      <c r="AB909" s="27" t="n"/>
      <c r="AC909" s="32">
        <f>IF(A909="","",IF(COUNTIF($H$5:$H$1004,H909)&gt;1,"DUPLICATE","UNIQUE"))</f>
        <v/>
      </c>
      <c r="AD909" s="32">
        <f>IF(A909="","",IF(AA909="Rejected",IF(AB909&lt;&gt;"","REJECTED","ADD REASON"),IF(AND(B909&lt;&gt;"",C909&lt;&gt;"",D909&lt;&gt;"",E909&lt;&gt;"",F909&lt;&gt;"",G909&lt;&gt;"",H909&lt;&gt;"",J909&lt;&gt;"",K909&lt;&gt;"",L909&lt;&gt;"",M909&lt;&gt;"",N909&lt;&gt;"",O909&lt;&gt;"",P909&lt;&gt;"",Q909&lt;&gt;"",R909&lt;&gt;"",S909&lt;&gt;"",T909&lt;&gt;"",U909&lt;&gt;"",V909&lt;&gt;"",W909&lt;&gt;"",X909&lt;&gt;"",Y909&lt;&gt;"",AC909="UNIQUE"),"READY","CHECK")))</f>
        <v/>
      </c>
    </row>
    <row r="910">
      <c r="A910" s="25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37" t="n"/>
      <c r="K910" s="34" t="n"/>
      <c r="L910" s="26" t="n"/>
      <c r="M910" s="37" t="n"/>
      <c r="N910" s="37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34" t="n"/>
      <c r="Y910" s="26" t="n"/>
      <c r="Z910" s="26" t="n"/>
      <c r="AA910" s="26" t="n"/>
      <c r="AB910" s="27" t="n"/>
      <c r="AC910" s="32">
        <f>IF(A910="","",IF(COUNTIF($H$5:$H$1004,H910)&gt;1,"DUPLICATE","UNIQUE"))</f>
        <v/>
      </c>
      <c r="AD910" s="32">
        <f>IF(A910="","",IF(AA910="Rejected",IF(AB910&lt;&gt;"","REJECTED","ADD REASON"),IF(AND(B910&lt;&gt;"",C910&lt;&gt;"",D910&lt;&gt;"",E910&lt;&gt;"",F910&lt;&gt;"",G910&lt;&gt;"",H910&lt;&gt;"",J910&lt;&gt;"",K910&lt;&gt;"",L910&lt;&gt;"",M910&lt;&gt;"",N910&lt;&gt;"",O910&lt;&gt;"",P910&lt;&gt;"",Q910&lt;&gt;"",R910&lt;&gt;"",S910&lt;&gt;"",T910&lt;&gt;"",U910&lt;&gt;"",V910&lt;&gt;"",W910&lt;&gt;"",X910&lt;&gt;"",Y910&lt;&gt;"",AC910="UNIQUE"),"READY","CHECK")))</f>
        <v/>
      </c>
    </row>
    <row r="911">
      <c r="A911" s="25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37" t="n"/>
      <c r="K911" s="34" t="n"/>
      <c r="L911" s="26" t="n"/>
      <c r="M911" s="37" t="n"/>
      <c r="N911" s="37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34" t="n"/>
      <c r="Y911" s="26" t="n"/>
      <c r="Z911" s="26" t="n"/>
      <c r="AA911" s="26" t="n"/>
      <c r="AB911" s="27" t="n"/>
      <c r="AC911" s="32">
        <f>IF(A911="","",IF(COUNTIF($H$5:$H$1004,H911)&gt;1,"DUPLICATE","UNIQUE"))</f>
        <v/>
      </c>
      <c r="AD911" s="32">
        <f>IF(A911="","",IF(AA911="Rejected",IF(AB911&lt;&gt;"","REJECTED","ADD REASON"),IF(AND(B911&lt;&gt;"",C911&lt;&gt;"",D911&lt;&gt;"",E911&lt;&gt;"",F911&lt;&gt;"",G911&lt;&gt;"",H911&lt;&gt;"",J911&lt;&gt;"",K911&lt;&gt;"",L911&lt;&gt;"",M911&lt;&gt;"",N911&lt;&gt;"",O911&lt;&gt;"",P911&lt;&gt;"",Q911&lt;&gt;"",R911&lt;&gt;"",S911&lt;&gt;"",T911&lt;&gt;"",U911&lt;&gt;"",V911&lt;&gt;"",W911&lt;&gt;"",X911&lt;&gt;"",Y911&lt;&gt;"",AC911="UNIQUE"),"READY","CHECK")))</f>
        <v/>
      </c>
    </row>
    <row r="912">
      <c r="A912" s="25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37" t="n"/>
      <c r="K912" s="34" t="n"/>
      <c r="L912" s="26" t="n"/>
      <c r="M912" s="37" t="n"/>
      <c r="N912" s="37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34" t="n"/>
      <c r="Y912" s="26" t="n"/>
      <c r="Z912" s="26" t="n"/>
      <c r="AA912" s="26" t="n"/>
      <c r="AB912" s="27" t="n"/>
      <c r="AC912" s="32">
        <f>IF(A912="","",IF(COUNTIF($H$5:$H$1004,H912)&gt;1,"DUPLICATE","UNIQUE"))</f>
        <v/>
      </c>
      <c r="AD912" s="32">
        <f>IF(A912="","",IF(AA912="Rejected",IF(AB912&lt;&gt;"","REJECTED","ADD REASON"),IF(AND(B912&lt;&gt;"",C912&lt;&gt;"",D912&lt;&gt;"",E912&lt;&gt;"",F912&lt;&gt;"",G912&lt;&gt;"",H912&lt;&gt;"",J912&lt;&gt;"",K912&lt;&gt;"",L912&lt;&gt;"",M912&lt;&gt;"",N912&lt;&gt;"",O912&lt;&gt;"",P912&lt;&gt;"",Q912&lt;&gt;"",R912&lt;&gt;"",S912&lt;&gt;"",T912&lt;&gt;"",U912&lt;&gt;"",V912&lt;&gt;"",W912&lt;&gt;"",X912&lt;&gt;"",Y912&lt;&gt;"",AC912="UNIQUE"),"READY","CHECK")))</f>
        <v/>
      </c>
    </row>
    <row r="913">
      <c r="A913" s="25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37" t="n"/>
      <c r="K913" s="34" t="n"/>
      <c r="L913" s="26" t="n"/>
      <c r="M913" s="37" t="n"/>
      <c r="N913" s="37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34" t="n"/>
      <c r="Y913" s="26" t="n"/>
      <c r="Z913" s="26" t="n"/>
      <c r="AA913" s="26" t="n"/>
      <c r="AB913" s="27" t="n"/>
      <c r="AC913" s="32">
        <f>IF(A913="","",IF(COUNTIF($H$5:$H$1004,H913)&gt;1,"DUPLICATE","UNIQUE"))</f>
        <v/>
      </c>
      <c r="AD913" s="32">
        <f>IF(A913="","",IF(AA913="Rejected",IF(AB913&lt;&gt;"","REJECTED","ADD REASON"),IF(AND(B913&lt;&gt;"",C913&lt;&gt;"",D913&lt;&gt;"",E913&lt;&gt;"",F913&lt;&gt;"",G913&lt;&gt;"",H913&lt;&gt;"",J913&lt;&gt;"",K913&lt;&gt;"",L913&lt;&gt;"",M913&lt;&gt;"",N913&lt;&gt;"",O913&lt;&gt;"",P913&lt;&gt;"",Q913&lt;&gt;"",R913&lt;&gt;"",S913&lt;&gt;"",T913&lt;&gt;"",U913&lt;&gt;"",V913&lt;&gt;"",W913&lt;&gt;"",X913&lt;&gt;"",Y913&lt;&gt;"",AC913="UNIQUE"),"READY","CHECK")))</f>
        <v/>
      </c>
    </row>
    <row r="914">
      <c r="A914" s="25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37" t="n"/>
      <c r="K914" s="34" t="n"/>
      <c r="L914" s="26" t="n"/>
      <c r="M914" s="37" t="n"/>
      <c r="N914" s="37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34" t="n"/>
      <c r="Y914" s="26" t="n"/>
      <c r="Z914" s="26" t="n"/>
      <c r="AA914" s="26" t="n"/>
      <c r="AB914" s="27" t="n"/>
      <c r="AC914" s="32">
        <f>IF(A914="","",IF(COUNTIF($H$5:$H$1004,H914)&gt;1,"DUPLICATE","UNIQUE"))</f>
        <v/>
      </c>
      <c r="AD914" s="32">
        <f>IF(A914="","",IF(AA914="Rejected",IF(AB914&lt;&gt;"","REJECTED","ADD REASON"),IF(AND(B914&lt;&gt;"",C914&lt;&gt;"",D914&lt;&gt;"",E914&lt;&gt;"",F914&lt;&gt;"",G914&lt;&gt;"",H914&lt;&gt;"",J914&lt;&gt;"",K914&lt;&gt;"",L914&lt;&gt;"",M914&lt;&gt;"",N914&lt;&gt;"",O914&lt;&gt;"",P914&lt;&gt;"",Q914&lt;&gt;"",R914&lt;&gt;"",S914&lt;&gt;"",T914&lt;&gt;"",U914&lt;&gt;"",V914&lt;&gt;"",W914&lt;&gt;"",X914&lt;&gt;"",Y914&lt;&gt;"",AC914="UNIQUE"),"READY","CHECK")))</f>
        <v/>
      </c>
    </row>
    <row r="915">
      <c r="A915" s="25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37" t="n"/>
      <c r="K915" s="34" t="n"/>
      <c r="L915" s="26" t="n"/>
      <c r="M915" s="37" t="n"/>
      <c r="N915" s="37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34" t="n"/>
      <c r="Y915" s="26" t="n"/>
      <c r="Z915" s="26" t="n"/>
      <c r="AA915" s="26" t="n"/>
      <c r="AB915" s="27" t="n"/>
      <c r="AC915" s="32">
        <f>IF(A915="","",IF(COUNTIF($H$5:$H$1004,H915)&gt;1,"DUPLICATE","UNIQUE"))</f>
        <v/>
      </c>
      <c r="AD915" s="32">
        <f>IF(A915="","",IF(AA915="Rejected",IF(AB915&lt;&gt;"","REJECTED","ADD REASON"),IF(AND(B915&lt;&gt;"",C915&lt;&gt;"",D915&lt;&gt;"",E915&lt;&gt;"",F915&lt;&gt;"",G915&lt;&gt;"",H915&lt;&gt;"",J915&lt;&gt;"",K915&lt;&gt;"",L915&lt;&gt;"",M915&lt;&gt;"",N915&lt;&gt;"",O915&lt;&gt;"",P915&lt;&gt;"",Q915&lt;&gt;"",R915&lt;&gt;"",S915&lt;&gt;"",T915&lt;&gt;"",U915&lt;&gt;"",V915&lt;&gt;"",W915&lt;&gt;"",X915&lt;&gt;"",Y915&lt;&gt;"",AC915="UNIQUE"),"READY","CHECK")))</f>
        <v/>
      </c>
    </row>
    <row r="916">
      <c r="A916" s="25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37" t="n"/>
      <c r="K916" s="34" t="n"/>
      <c r="L916" s="26" t="n"/>
      <c r="M916" s="37" t="n"/>
      <c r="N916" s="37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34" t="n"/>
      <c r="Y916" s="26" t="n"/>
      <c r="Z916" s="26" t="n"/>
      <c r="AA916" s="26" t="n"/>
      <c r="AB916" s="27" t="n"/>
      <c r="AC916" s="32">
        <f>IF(A916="","",IF(COUNTIF($H$5:$H$1004,H916)&gt;1,"DUPLICATE","UNIQUE"))</f>
        <v/>
      </c>
      <c r="AD916" s="32">
        <f>IF(A916="","",IF(AA916="Rejected",IF(AB916&lt;&gt;"","REJECTED","ADD REASON"),IF(AND(B916&lt;&gt;"",C916&lt;&gt;"",D916&lt;&gt;"",E916&lt;&gt;"",F916&lt;&gt;"",G916&lt;&gt;"",H916&lt;&gt;"",J916&lt;&gt;"",K916&lt;&gt;"",L916&lt;&gt;"",M916&lt;&gt;"",N916&lt;&gt;"",O916&lt;&gt;"",P916&lt;&gt;"",Q916&lt;&gt;"",R916&lt;&gt;"",S916&lt;&gt;"",T916&lt;&gt;"",U916&lt;&gt;"",V916&lt;&gt;"",W916&lt;&gt;"",X916&lt;&gt;"",Y916&lt;&gt;"",AC916="UNIQUE"),"READY","CHECK")))</f>
        <v/>
      </c>
    </row>
    <row r="917">
      <c r="A917" s="25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37" t="n"/>
      <c r="K917" s="34" t="n"/>
      <c r="L917" s="26" t="n"/>
      <c r="M917" s="37" t="n"/>
      <c r="N917" s="37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34" t="n"/>
      <c r="Y917" s="26" t="n"/>
      <c r="Z917" s="26" t="n"/>
      <c r="AA917" s="26" t="n"/>
      <c r="AB917" s="27" t="n"/>
      <c r="AC917" s="32">
        <f>IF(A917="","",IF(COUNTIF($H$5:$H$1004,H917)&gt;1,"DUPLICATE","UNIQUE"))</f>
        <v/>
      </c>
      <c r="AD917" s="32">
        <f>IF(A917="","",IF(AA917="Rejected",IF(AB917&lt;&gt;"","REJECTED","ADD REASON"),IF(AND(B917&lt;&gt;"",C917&lt;&gt;"",D917&lt;&gt;"",E917&lt;&gt;"",F917&lt;&gt;"",G917&lt;&gt;"",H917&lt;&gt;"",J917&lt;&gt;"",K917&lt;&gt;"",L917&lt;&gt;"",M917&lt;&gt;"",N917&lt;&gt;"",O917&lt;&gt;"",P917&lt;&gt;"",Q917&lt;&gt;"",R917&lt;&gt;"",S917&lt;&gt;"",T917&lt;&gt;"",U917&lt;&gt;"",V917&lt;&gt;"",W917&lt;&gt;"",X917&lt;&gt;"",Y917&lt;&gt;"",AC917="UNIQUE"),"READY","CHECK")))</f>
        <v/>
      </c>
    </row>
    <row r="918">
      <c r="A918" s="25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37" t="n"/>
      <c r="K918" s="34" t="n"/>
      <c r="L918" s="26" t="n"/>
      <c r="M918" s="37" t="n"/>
      <c r="N918" s="37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34" t="n"/>
      <c r="Y918" s="26" t="n"/>
      <c r="Z918" s="26" t="n"/>
      <c r="AA918" s="26" t="n"/>
      <c r="AB918" s="27" t="n"/>
      <c r="AC918" s="32">
        <f>IF(A918="","",IF(COUNTIF($H$5:$H$1004,H918)&gt;1,"DUPLICATE","UNIQUE"))</f>
        <v/>
      </c>
      <c r="AD918" s="32">
        <f>IF(A918="","",IF(AA918="Rejected",IF(AB918&lt;&gt;"","REJECTED","ADD REASON"),IF(AND(B918&lt;&gt;"",C918&lt;&gt;"",D918&lt;&gt;"",E918&lt;&gt;"",F918&lt;&gt;"",G918&lt;&gt;"",H918&lt;&gt;"",J918&lt;&gt;"",K918&lt;&gt;"",L918&lt;&gt;"",M918&lt;&gt;"",N918&lt;&gt;"",O918&lt;&gt;"",P918&lt;&gt;"",Q918&lt;&gt;"",R918&lt;&gt;"",S918&lt;&gt;"",T918&lt;&gt;"",U918&lt;&gt;"",V918&lt;&gt;"",W918&lt;&gt;"",X918&lt;&gt;"",Y918&lt;&gt;"",AC918="UNIQUE"),"READY","CHECK")))</f>
        <v/>
      </c>
    </row>
    <row r="919">
      <c r="A919" s="25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37" t="n"/>
      <c r="K919" s="34" t="n"/>
      <c r="L919" s="26" t="n"/>
      <c r="M919" s="37" t="n"/>
      <c r="N919" s="37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34" t="n"/>
      <c r="Y919" s="26" t="n"/>
      <c r="Z919" s="26" t="n"/>
      <c r="AA919" s="26" t="n"/>
      <c r="AB919" s="27" t="n"/>
      <c r="AC919" s="32">
        <f>IF(A919="","",IF(COUNTIF($H$5:$H$1004,H919)&gt;1,"DUPLICATE","UNIQUE"))</f>
        <v/>
      </c>
      <c r="AD919" s="32">
        <f>IF(A919="","",IF(AA919="Rejected",IF(AB919&lt;&gt;"","REJECTED","ADD REASON"),IF(AND(B919&lt;&gt;"",C919&lt;&gt;"",D919&lt;&gt;"",E919&lt;&gt;"",F919&lt;&gt;"",G919&lt;&gt;"",H919&lt;&gt;"",J919&lt;&gt;"",K919&lt;&gt;"",L919&lt;&gt;"",M919&lt;&gt;"",N919&lt;&gt;"",O919&lt;&gt;"",P919&lt;&gt;"",Q919&lt;&gt;"",R919&lt;&gt;"",S919&lt;&gt;"",T919&lt;&gt;"",U919&lt;&gt;"",V919&lt;&gt;"",W919&lt;&gt;"",X919&lt;&gt;"",Y919&lt;&gt;"",AC919="UNIQUE"),"READY","CHECK")))</f>
        <v/>
      </c>
    </row>
    <row r="920">
      <c r="A920" s="25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37" t="n"/>
      <c r="K920" s="34" t="n"/>
      <c r="L920" s="26" t="n"/>
      <c r="M920" s="37" t="n"/>
      <c r="N920" s="37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34" t="n"/>
      <c r="Y920" s="26" t="n"/>
      <c r="Z920" s="26" t="n"/>
      <c r="AA920" s="26" t="n"/>
      <c r="AB920" s="27" t="n"/>
      <c r="AC920" s="32">
        <f>IF(A920="","",IF(COUNTIF($H$5:$H$1004,H920)&gt;1,"DUPLICATE","UNIQUE"))</f>
        <v/>
      </c>
      <c r="AD920" s="32">
        <f>IF(A920="","",IF(AA920="Rejected",IF(AB920&lt;&gt;"","REJECTED","ADD REASON"),IF(AND(B920&lt;&gt;"",C920&lt;&gt;"",D920&lt;&gt;"",E920&lt;&gt;"",F920&lt;&gt;"",G920&lt;&gt;"",H920&lt;&gt;"",J920&lt;&gt;"",K920&lt;&gt;"",L920&lt;&gt;"",M920&lt;&gt;"",N920&lt;&gt;"",O920&lt;&gt;"",P920&lt;&gt;"",Q920&lt;&gt;"",R920&lt;&gt;"",S920&lt;&gt;"",T920&lt;&gt;"",U920&lt;&gt;"",V920&lt;&gt;"",W920&lt;&gt;"",X920&lt;&gt;"",Y920&lt;&gt;"",AC920="UNIQUE"),"READY","CHECK")))</f>
        <v/>
      </c>
    </row>
    <row r="921">
      <c r="A921" s="25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37" t="n"/>
      <c r="K921" s="34" t="n"/>
      <c r="L921" s="26" t="n"/>
      <c r="M921" s="37" t="n"/>
      <c r="N921" s="37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34" t="n"/>
      <c r="Y921" s="26" t="n"/>
      <c r="Z921" s="26" t="n"/>
      <c r="AA921" s="26" t="n"/>
      <c r="AB921" s="27" t="n"/>
      <c r="AC921" s="32">
        <f>IF(A921="","",IF(COUNTIF($H$5:$H$1004,H921)&gt;1,"DUPLICATE","UNIQUE"))</f>
        <v/>
      </c>
      <c r="AD921" s="32">
        <f>IF(A921="","",IF(AA921="Rejected",IF(AB921&lt;&gt;"","REJECTED","ADD REASON"),IF(AND(B921&lt;&gt;"",C921&lt;&gt;"",D921&lt;&gt;"",E921&lt;&gt;"",F921&lt;&gt;"",G921&lt;&gt;"",H921&lt;&gt;"",J921&lt;&gt;"",K921&lt;&gt;"",L921&lt;&gt;"",M921&lt;&gt;"",N921&lt;&gt;"",O921&lt;&gt;"",P921&lt;&gt;"",Q921&lt;&gt;"",R921&lt;&gt;"",S921&lt;&gt;"",T921&lt;&gt;"",U921&lt;&gt;"",V921&lt;&gt;"",W921&lt;&gt;"",X921&lt;&gt;"",Y921&lt;&gt;"",AC921="UNIQUE"),"READY","CHECK")))</f>
        <v/>
      </c>
    </row>
    <row r="922">
      <c r="A922" s="25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37" t="n"/>
      <c r="K922" s="34" t="n"/>
      <c r="L922" s="26" t="n"/>
      <c r="M922" s="37" t="n"/>
      <c r="N922" s="37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34" t="n"/>
      <c r="Y922" s="26" t="n"/>
      <c r="Z922" s="26" t="n"/>
      <c r="AA922" s="26" t="n"/>
      <c r="AB922" s="27" t="n"/>
      <c r="AC922" s="32">
        <f>IF(A922="","",IF(COUNTIF($H$5:$H$1004,H922)&gt;1,"DUPLICATE","UNIQUE"))</f>
        <v/>
      </c>
      <c r="AD922" s="32">
        <f>IF(A922="","",IF(AA922="Rejected",IF(AB922&lt;&gt;"","REJECTED","ADD REASON"),IF(AND(B922&lt;&gt;"",C922&lt;&gt;"",D922&lt;&gt;"",E922&lt;&gt;"",F922&lt;&gt;"",G922&lt;&gt;"",H922&lt;&gt;"",J922&lt;&gt;"",K922&lt;&gt;"",L922&lt;&gt;"",M922&lt;&gt;"",N922&lt;&gt;"",O922&lt;&gt;"",P922&lt;&gt;"",Q922&lt;&gt;"",R922&lt;&gt;"",S922&lt;&gt;"",T922&lt;&gt;"",U922&lt;&gt;"",V922&lt;&gt;"",W922&lt;&gt;"",X922&lt;&gt;"",Y922&lt;&gt;"",AC922="UNIQUE"),"READY","CHECK")))</f>
        <v/>
      </c>
    </row>
    <row r="923">
      <c r="A923" s="25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37" t="n"/>
      <c r="K923" s="34" t="n"/>
      <c r="L923" s="26" t="n"/>
      <c r="M923" s="37" t="n"/>
      <c r="N923" s="37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34" t="n"/>
      <c r="Y923" s="26" t="n"/>
      <c r="Z923" s="26" t="n"/>
      <c r="AA923" s="26" t="n"/>
      <c r="AB923" s="27" t="n"/>
      <c r="AC923" s="32">
        <f>IF(A923="","",IF(COUNTIF($H$5:$H$1004,H923)&gt;1,"DUPLICATE","UNIQUE"))</f>
        <v/>
      </c>
      <c r="AD923" s="32">
        <f>IF(A923="","",IF(AA923="Rejected",IF(AB923&lt;&gt;"","REJECTED","ADD REASON"),IF(AND(B923&lt;&gt;"",C923&lt;&gt;"",D923&lt;&gt;"",E923&lt;&gt;"",F923&lt;&gt;"",G923&lt;&gt;"",H923&lt;&gt;"",J923&lt;&gt;"",K923&lt;&gt;"",L923&lt;&gt;"",M923&lt;&gt;"",N923&lt;&gt;"",O923&lt;&gt;"",P923&lt;&gt;"",Q923&lt;&gt;"",R923&lt;&gt;"",S923&lt;&gt;"",T923&lt;&gt;"",U923&lt;&gt;"",V923&lt;&gt;"",W923&lt;&gt;"",X923&lt;&gt;"",Y923&lt;&gt;"",AC923="UNIQUE"),"READY","CHECK")))</f>
        <v/>
      </c>
    </row>
    <row r="924">
      <c r="A924" s="25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37" t="n"/>
      <c r="K924" s="34" t="n"/>
      <c r="L924" s="26" t="n"/>
      <c r="M924" s="37" t="n"/>
      <c r="N924" s="37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34" t="n"/>
      <c r="Y924" s="26" t="n"/>
      <c r="Z924" s="26" t="n"/>
      <c r="AA924" s="26" t="n"/>
      <c r="AB924" s="27" t="n"/>
      <c r="AC924" s="32">
        <f>IF(A924="","",IF(COUNTIF($H$5:$H$1004,H924)&gt;1,"DUPLICATE","UNIQUE"))</f>
        <v/>
      </c>
      <c r="AD924" s="32">
        <f>IF(A924="","",IF(AA924="Rejected",IF(AB924&lt;&gt;"","REJECTED","ADD REASON"),IF(AND(B924&lt;&gt;"",C924&lt;&gt;"",D924&lt;&gt;"",E924&lt;&gt;"",F924&lt;&gt;"",G924&lt;&gt;"",H924&lt;&gt;"",J924&lt;&gt;"",K924&lt;&gt;"",L924&lt;&gt;"",M924&lt;&gt;"",N924&lt;&gt;"",O924&lt;&gt;"",P924&lt;&gt;"",Q924&lt;&gt;"",R924&lt;&gt;"",S924&lt;&gt;"",T924&lt;&gt;"",U924&lt;&gt;"",V924&lt;&gt;"",W924&lt;&gt;"",X924&lt;&gt;"",Y924&lt;&gt;"",AC924="UNIQUE"),"READY","CHECK")))</f>
        <v/>
      </c>
    </row>
    <row r="925">
      <c r="A925" s="25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37" t="n"/>
      <c r="K925" s="34" t="n"/>
      <c r="L925" s="26" t="n"/>
      <c r="M925" s="37" t="n"/>
      <c r="N925" s="37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34" t="n"/>
      <c r="Y925" s="26" t="n"/>
      <c r="Z925" s="26" t="n"/>
      <c r="AA925" s="26" t="n"/>
      <c r="AB925" s="27" t="n"/>
      <c r="AC925" s="32">
        <f>IF(A925="","",IF(COUNTIF($H$5:$H$1004,H925)&gt;1,"DUPLICATE","UNIQUE"))</f>
        <v/>
      </c>
      <c r="AD925" s="32">
        <f>IF(A925="","",IF(AA925="Rejected",IF(AB925&lt;&gt;"","REJECTED","ADD REASON"),IF(AND(B925&lt;&gt;"",C925&lt;&gt;"",D925&lt;&gt;"",E925&lt;&gt;"",F925&lt;&gt;"",G925&lt;&gt;"",H925&lt;&gt;"",J925&lt;&gt;"",K925&lt;&gt;"",L925&lt;&gt;"",M925&lt;&gt;"",N925&lt;&gt;"",O925&lt;&gt;"",P925&lt;&gt;"",Q925&lt;&gt;"",R925&lt;&gt;"",S925&lt;&gt;"",T925&lt;&gt;"",U925&lt;&gt;"",V925&lt;&gt;"",W925&lt;&gt;"",X925&lt;&gt;"",Y925&lt;&gt;"",AC925="UNIQUE"),"READY","CHECK")))</f>
        <v/>
      </c>
    </row>
    <row r="926">
      <c r="A926" s="25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37" t="n"/>
      <c r="K926" s="34" t="n"/>
      <c r="L926" s="26" t="n"/>
      <c r="M926" s="37" t="n"/>
      <c r="N926" s="37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34" t="n"/>
      <c r="Y926" s="26" t="n"/>
      <c r="Z926" s="26" t="n"/>
      <c r="AA926" s="26" t="n"/>
      <c r="AB926" s="27" t="n"/>
      <c r="AC926" s="32">
        <f>IF(A926="","",IF(COUNTIF($H$5:$H$1004,H926)&gt;1,"DUPLICATE","UNIQUE"))</f>
        <v/>
      </c>
      <c r="AD926" s="32">
        <f>IF(A926="","",IF(AA926="Rejected",IF(AB926&lt;&gt;"","REJECTED","ADD REASON"),IF(AND(B926&lt;&gt;"",C926&lt;&gt;"",D926&lt;&gt;"",E926&lt;&gt;"",F926&lt;&gt;"",G926&lt;&gt;"",H926&lt;&gt;"",J926&lt;&gt;"",K926&lt;&gt;"",L926&lt;&gt;"",M926&lt;&gt;"",N926&lt;&gt;"",O926&lt;&gt;"",P926&lt;&gt;"",Q926&lt;&gt;"",R926&lt;&gt;"",S926&lt;&gt;"",T926&lt;&gt;"",U926&lt;&gt;"",V926&lt;&gt;"",W926&lt;&gt;"",X926&lt;&gt;"",Y926&lt;&gt;"",AC926="UNIQUE"),"READY","CHECK")))</f>
        <v/>
      </c>
    </row>
    <row r="927">
      <c r="A927" s="25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37" t="n"/>
      <c r="K927" s="34" t="n"/>
      <c r="L927" s="26" t="n"/>
      <c r="M927" s="37" t="n"/>
      <c r="N927" s="37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34" t="n"/>
      <c r="Y927" s="26" t="n"/>
      <c r="Z927" s="26" t="n"/>
      <c r="AA927" s="26" t="n"/>
      <c r="AB927" s="27" t="n"/>
      <c r="AC927" s="32">
        <f>IF(A927="","",IF(COUNTIF($H$5:$H$1004,H927)&gt;1,"DUPLICATE","UNIQUE"))</f>
        <v/>
      </c>
      <c r="AD927" s="32">
        <f>IF(A927="","",IF(AA927="Rejected",IF(AB927&lt;&gt;"","REJECTED","ADD REASON"),IF(AND(B927&lt;&gt;"",C927&lt;&gt;"",D927&lt;&gt;"",E927&lt;&gt;"",F927&lt;&gt;"",G927&lt;&gt;"",H927&lt;&gt;"",J927&lt;&gt;"",K927&lt;&gt;"",L927&lt;&gt;"",M927&lt;&gt;"",N927&lt;&gt;"",O927&lt;&gt;"",P927&lt;&gt;"",Q927&lt;&gt;"",R927&lt;&gt;"",S927&lt;&gt;"",T927&lt;&gt;"",U927&lt;&gt;"",V927&lt;&gt;"",W927&lt;&gt;"",X927&lt;&gt;"",Y927&lt;&gt;"",AC927="UNIQUE"),"READY","CHECK")))</f>
        <v/>
      </c>
    </row>
    <row r="928">
      <c r="A928" s="25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37" t="n"/>
      <c r="K928" s="34" t="n"/>
      <c r="L928" s="26" t="n"/>
      <c r="M928" s="37" t="n"/>
      <c r="N928" s="37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34" t="n"/>
      <c r="Y928" s="26" t="n"/>
      <c r="Z928" s="26" t="n"/>
      <c r="AA928" s="26" t="n"/>
      <c r="AB928" s="27" t="n"/>
      <c r="AC928" s="32">
        <f>IF(A928="","",IF(COUNTIF($H$5:$H$1004,H928)&gt;1,"DUPLICATE","UNIQUE"))</f>
        <v/>
      </c>
      <c r="AD928" s="32">
        <f>IF(A928="","",IF(AA928="Rejected",IF(AB928&lt;&gt;"","REJECTED","ADD REASON"),IF(AND(B928&lt;&gt;"",C928&lt;&gt;"",D928&lt;&gt;"",E928&lt;&gt;"",F928&lt;&gt;"",G928&lt;&gt;"",H928&lt;&gt;"",J928&lt;&gt;"",K928&lt;&gt;"",L928&lt;&gt;"",M928&lt;&gt;"",N928&lt;&gt;"",O928&lt;&gt;"",P928&lt;&gt;"",Q928&lt;&gt;"",R928&lt;&gt;"",S928&lt;&gt;"",T928&lt;&gt;"",U928&lt;&gt;"",V928&lt;&gt;"",W928&lt;&gt;"",X928&lt;&gt;"",Y928&lt;&gt;"",AC928="UNIQUE"),"READY","CHECK")))</f>
        <v/>
      </c>
    </row>
    <row r="929">
      <c r="A929" s="25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37" t="n"/>
      <c r="K929" s="34" t="n"/>
      <c r="L929" s="26" t="n"/>
      <c r="M929" s="37" t="n"/>
      <c r="N929" s="37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34" t="n"/>
      <c r="Y929" s="26" t="n"/>
      <c r="Z929" s="26" t="n"/>
      <c r="AA929" s="26" t="n"/>
      <c r="AB929" s="27" t="n"/>
      <c r="AC929" s="32">
        <f>IF(A929="","",IF(COUNTIF($H$5:$H$1004,H929)&gt;1,"DUPLICATE","UNIQUE"))</f>
        <v/>
      </c>
      <c r="AD929" s="32">
        <f>IF(A929="","",IF(AA929="Rejected",IF(AB929&lt;&gt;"","REJECTED","ADD REASON"),IF(AND(B929&lt;&gt;"",C929&lt;&gt;"",D929&lt;&gt;"",E929&lt;&gt;"",F929&lt;&gt;"",G929&lt;&gt;"",H929&lt;&gt;"",J929&lt;&gt;"",K929&lt;&gt;"",L929&lt;&gt;"",M929&lt;&gt;"",N929&lt;&gt;"",O929&lt;&gt;"",P929&lt;&gt;"",Q929&lt;&gt;"",R929&lt;&gt;"",S929&lt;&gt;"",T929&lt;&gt;"",U929&lt;&gt;"",V929&lt;&gt;"",W929&lt;&gt;"",X929&lt;&gt;"",Y929&lt;&gt;"",AC929="UNIQUE"),"READY","CHECK")))</f>
        <v/>
      </c>
    </row>
    <row r="930">
      <c r="A930" s="25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37" t="n"/>
      <c r="K930" s="34" t="n"/>
      <c r="L930" s="26" t="n"/>
      <c r="M930" s="37" t="n"/>
      <c r="N930" s="37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34" t="n"/>
      <c r="Y930" s="26" t="n"/>
      <c r="Z930" s="26" t="n"/>
      <c r="AA930" s="26" t="n"/>
      <c r="AB930" s="27" t="n"/>
      <c r="AC930" s="32">
        <f>IF(A930="","",IF(COUNTIF($H$5:$H$1004,H930)&gt;1,"DUPLICATE","UNIQUE"))</f>
        <v/>
      </c>
      <c r="AD930" s="32">
        <f>IF(A930="","",IF(AA930="Rejected",IF(AB930&lt;&gt;"","REJECTED","ADD REASON"),IF(AND(B930&lt;&gt;"",C930&lt;&gt;"",D930&lt;&gt;"",E930&lt;&gt;"",F930&lt;&gt;"",G930&lt;&gt;"",H930&lt;&gt;"",J930&lt;&gt;"",K930&lt;&gt;"",L930&lt;&gt;"",M930&lt;&gt;"",N930&lt;&gt;"",O930&lt;&gt;"",P930&lt;&gt;"",Q930&lt;&gt;"",R930&lt;&gt;"",S930&lt;&gt;"",T930&lt;&gt;"",U930&lt;&gt;"",V930&lt;&gt;"",W930&lt;&gt;"",X930&lt;&gt;"",Y930&lt;&gt;"",AC930="UNIQUE"),"READY","CHECK")))</f>
        <v/>
      </c>
    </row>
    <row r="931">
      <c r="A931" s="25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37" t="n"/>
      <c r="K931" s="34" t="n"/>
      <c r="L931" s="26" t="n"/>
      <c r="M931" s="37" t="n"/>
      <c r="N931" s="37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34" t="n"/>
      <c r="Y931" s="26" t="n"/>
      <c r="Z931" s="26" t="n"/>
      <c r="AA931" s="26" t="n"/>
      <c r="AB931" s="27" t="n"/>
      <c r="AC931" s="32">
        <f>IF(A931="","",IF(COUNTIF($H$5:$H$1004,H931)&gt;1,"DUPLICATE","UNIQUE"))</f>
        <v/>
      </c>
      <c r="AD931" s="32">
        <f>IF(A931="","",IF(AA931="Rejected",IF(AB931&lt;&gt;"","REJECTED","ADD REASON"),IF(AND(B931&lt;&gt;"",C931&lt;&gt;"",D931&lt;&gt;"",E931&lt;&gt;"",F931&lt;&gt;"",G931&lt;&gt;"",H931&lt;&gt;"",J931&lt;&gt;"",K931&lt;&gt;"",L931&lt;&gt;"",M931&lt;&gt;"",N931&lt;&gt;"",O931&lt;&gt;"",P931&lt;&gt;"",Q931&lt;&gt;"",R931&lt;&gt;"",S931&lt;&gt;"",T931&lt;&gt;"",U931&lt;&gt;"",V931&lt;&gt;"",W931&lt;&gt;"",X931&lt;&gt;"",Y931&lt;&gt;"",AC931="UNIQUE"),"READY","CHECK")))</f>
        <v/>
      </c>
    </row>
    <row r="932">
      <c r="A932" s="25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37" t="n"/>
      <c r="K932" s="34" t="n"/>
      <c r="L932" s="26" t="n"/>
      <c r="M932" s="37" t="n"/>
      <c r="N932" s="37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34" t="n"/>
      <c r="Y932" s="26" t="n"/>
      <c r="Z932" s="26" t="n"/>
      <c r="AA932" s="26" t="n"/>
      <c r="AB932" s="27" t="n"/>
      <c r="AC932" s="32">
        <f>IF(A932="","",IF(COUNTIF($H$5:$H$1004,H932)&gt;1,"DUPLICATE","UNIQUE"))</f>
        <v/>
      </c>
      <c r="AD932" s="32">
        <f>IF(A932="","",IF(AA932="Rejected",IF(AB932&lt;&gt;"","REJECTED","ADD REASON"),IF(AND(B932&lt;&gt;"",C932&lt;&gt;"",D932&lt;&gt;"",E932&lt;&gt;"",F932&lt;&gt;"",G932&lt;&gt;"",H932&lt;&gt;"",J932&lt;&gt;"",K932&lt;&gt;"",L932&lt;&gt;"",M932&lt;&gt;"",N932&lt;&gt;"",O932&lt;&gt;"",P932&lt;&gt;"",Q932&lt;&gt;"",R932&lt;&gt;"",S932&lt;&gt;"",T932&lt;&gt;"",U932&lt;&gt;"",V932&lt;&gt;"",W932&lt;&gt;"",X932&lt;&gt;"",Y932&lt;&gt;"",AC932="UNIQUE"),"READY","CHECK")))</f>
        <v/>
      </c>
    </row>
    <row r="933">
      <c r="A933" s="25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37" t="n"/>
      <c r="K933" s="34" t="n"/>
      <c r="L933" s="26" t="n"/>
      <c r="M933" s="37" t="n"/>
      <c r="N933" s="37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34" t="n"/>
      <c r="Y933" s="26" t="n"/>
      <c r="Z933" s="26" t="n"/>
      <c r="AA933" s="26" t="n"/>
      <c r="AB933" s="27" t="n"/>
      <c r="AC933" s="32">
        <f>IF(A933="","",IF(COUNTIF($H$5:$H$1004,H933)&gt;1,"DUPLICATE","UNIQUE"))</f>
        <v/>
      </c>
      <c r="AD933" s="32">
        <f>IF(A933="","",IF(AA933="Rejected",IF(AB933&lt;&gt;"","REJECTED","ADD REASON"),IF(AND(B933&lt;&gt;"",C933&lt;&gt;"",D933&lt;&gt;"",E933&lt;&gt;"",F933&lt;&gt;"",G933&lt;&gt;"",H933&lt;&gt;"",J933&lt;&gt;"",K933&lt;&gt;"",L933&lt;&gt;"",M933&lt;&gt;"",N933&lt;&gt;"",O933&lt;&gt;"",P933&lt;&gt;"",Q933&lt;&gt;"",R933&lt;&gt;"",S933&lt;&gt;"",T933&lt;&gt;"",U933&lt;&gt;"",V933&lt;&gt;"",W933&lt;&gt;"",X933&lt;&gt;"",Y933&lt;&gt;"",AC933="UNIQUE"),"READY","CHECK")))</f>
        <v/>
      </c>
    </row>
    <row r="934">
      <c r="A934" s="25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37" t="n"/>
      <c r="K934" s="34" t="n"/>
      <c r="L934" s="26" t="n"/>
      <c r="M934" s="37" t="n"/>
      <c r="N934" s="37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34" t="n"/>
      <c r="Y934" s="26" t="n"/>
      <c r="Z934" s="26" t="n"/>
      <c r="AA934" s="26" t="n"/>
      <c r="AB934" s="27" t="n"/>
      <c r="AC934" s="32">
        <f>IF(A934="","",IF(COUNTIF($H$5:$H$1004,H934)&gt;1,"DUPLICATE","UNIQUE"))</f>
        <v/>
      </c>
      <c r="AD934" s="32">
        <f>IF(A934="","",IF(AA934="Rejected",IF(AB934&lt;&gt;"","REJECTED","ADD REASON"),IF(AND(B934&lt;&gt;"",C934&lt;&gt;"",D934&lt;&gt;"",E934&lt;&gt;"",F934&lt;&gt;"",G934&lt;&gt;"",H934&lt;&gt;"",J934&lt;&gt;"",K934&lt;&gt;"",L934&lt;&gt;"",M934&lt;&gt;"",N934&lt;&gt;"",O934&lt;&gt;"",P934&lt;&gt;"",Q934&lt;&gt;"",R934&lt;&gt;"",S934&lt;&gt;"",T934&lt;&gt;"",U934&lt;&gt;"",V934&lt;&gt;"",W934&lt;&gt;"",X934&lt;&gt;"",Y934&lt;&gt;"",AC934="UNIQUE"),"READY","CHECK")))</f>
        <v/>
      </c>
    </row>
    <row r="935">
      <c r="A935" s="25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37" t="n"/>
      <c r="K935" s="34" t="n"/>
      <c r="L935" s="26" t="n"/>
      <c r="M935" s="37" t="n"/>
      <c r="N935" s="37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34" t="n"/>
      <c r="Y935" s="26" t="n"/>
      <c r="Z935" s="26" t="n"/>
      <c r="AA935" s="26" t="n"/>
      <c r="AB935" s="27" t="n"/>
      <c r="AC935" s="32">
        <f>IF(A935="","",IF(COUNTIF($H$5:$H$1004,H935)&gt;1,"DUPLICATE","UNIQUE"))</f>
        <v/>
      </c>
      <c r="AD935" s="32">
        <f>IF(A935="","",IF(AA935="Rejected",IF(AB935&lt;&gt;"","REJECTED","ADD REASON"),IF(AND(B935&lt;&gt;"",C935&lt;&gt;"",D935&lt;&gt;"",E935&lt;&gt;"",F935&lt;&gt;"",G935&lt;&gt;"",H935&lt;&gt;"",J935&lt;&gt;"",K935&lt;&gt;"",L935&lt;&gt;"",M935&lt;&gt;"",N935&lt;&gt;"",O935&lt;&gt;"",P935&lt;&gt;"",Q935&lt;&gt;"",R935&lt;&gt;"",S935&lt;&gt;"",T935&lt;&gt;"",U935&lt;&gt;"",V935&lt;&gt;"",W935&lt;&gt;"",X935&lt;&gt;"",Y935&lt;&gt;"",AC935="UNIQUE"),"READY","CHECK")))</f>
        <v/>
      </c>
    </row>
    <row r="936">
      <c r="A936" s="25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37" t="n"/>
      <c r="K936" s="34" t="n"/>
      <c r="L936" s="26" t="n"/>
      <c r="M936" s="37" t="n"/>
      <c r="N936" s="37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34" t="n"/>
      <c r="Y936" s="26" t="n"/>
      <c r="Z936" s="26" t="n"/>
      <c r="AA936" s="26" t="n"/>
      <c r="AB936" s="27" t="n"/>
      <c r="AC936" s="32">
        <f>IF(A936="","",IF(COUNTIF($H$5:$H$1004,H936)&gt;1,"DUPLICATE","UNIQUE"))</f>
        <v/>
      </c>
      <c r="AD936" s="32">
        <f>IF(A936="","",IF(AA936="Rejected",IF(AB936&lt;&gt;"","REJECTED","ADD REASON"),IF(AND(B936&lt;&gt;"",C936&lt;&gt;"",D936&lt;&gt;"",E936&lt;&gt;"",F936&lt;&gt;"",G936&lt;&gt;"",H936&lt;&gt;"",J936&lt;&gt;"",K936&lt;&gt;"",L936&lt;&gt;"",M936&lt;&gt;"",N936&lt;&gt;"",O936&lt;&gt;"",P936&lt;&gt;"",Q936&lt;&gt;"",R936&lt;&gt;"",S936&lt;&gt;"",T936&lt;&gt;"",U936&lt;&gt;"",V936&lt;&gt;"",W936&lt;&gt;"",X936&lt;&gt;"",Y936&lt;&gt;"",AC936="UNIQUE"),"READY","CHECK")))</f>
        <v/>
      </c>
    </row>
    <row r="937">
      <c r="A937" s="25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37" t="n"/>
      <c r="K937" s="34" t="n"/>
      <c r="L937" s="26" t="n"/>
      <c r="M937" s="37" t="n"/>
      <c r="N937" s="37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34" t="n"/>
      <c r="Y937" s="26" t="n"/>
      <c r="Z937" s="26" t="n"/>
      <c r="AA937" s="26" t="n"/>
      <c r="AB937" s="27" t="n"/>
      <c r="AC937" s="32">
        <f>IF(A937="","",IF(COUNTIF($H$5:$H$1004,H937)&gt;1,"DUPLICATE","UNIQUE"))</f>
        <v/>
      </c>
      <c r="AD937" s="32">
        <f>IF(A937="","",IF(AA937="Rejected",IF(AB937&lt;&gt;"","REJECTED","ADD REASON"),IF(AND(B937&lt;&gt;"",C937&lt;&gt;"",D937&lt;&gt;"",E937&lt;&gt;"",F937&lt;&gt;"",G937&lt;&gt;"",H937&lt;&gt;"",J937&lt;&gt;"",K937&lt;&gt;"",L937&lt;&gt;"",M937&lt;&gt;"",N937&lt;&gt;"",O937&lt;&gt;"",P937&lt;&gt;"",Q937&lt;&gt;"",R937&lt;&gt;"",S937&lt;&gt;"",T937&lt;&gt;"",U937&lt;&gt;"",V937&lt;&gt;"",W937&lt;&gt;"",X937&lt;&gt;"",Y937&lt;&gt;"",AC937="UNIQUE"),"READY","CHECK")))</f>
        <v/>
      </c>
    </row>
    <row r="938">
      <c r="A938" s="25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37" t="n"/>
      <c r="K938" s="34" t="n"/>
      <c r="L938" s="26" t="n"/>
      <c r="M938" s="37" t="n"/>
      <c r="N938" s="37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34" t="n"/>
      <c r="Y938" s="26" t="n"/>
      <c r="Z938" s="26" t="n"/>
      <c r="AA938" s="26" t="n"/>
      <c r="AB938" s="27" t="n"/>
      <c r="AC938" s="32">
        <f>IF(A938="","",IF(COUNTIF($H$5:$H$1004,H938)&gt;1,"DUPLICATE","UNIQUE"))</f>
        <v/>
      </c>
      <c r="AD938" s="32">
        <f>IF(A938="","",IF(AA938="Rejected",IF(AB938&lt;&gt;"","REJECTED","ADD REASON"),IF(AND(B938&lt;&gt;"",C938&lt;&gt;"",D938&lt;&gt;"",E938&lt;&gt;"",F938&lt;&gt;"",G938&lt;&gt;"",H938&lt;&gt;"",J938&lt;&gt;"",K938&lt;&gt;"",L938&lt;&gt;"",M938&lt;&gt;"",N938&lt;&gt;"",O938&lt;&gt;"",P938&lt;&gt;"",Q938&lt;&gt;"",R938&lt;&gt;"",S938&lt;&gt;"",T938&lt;&gt;"",U938&lt;&gt;"",V938&lt;&gt;"",W938&lt;&gt;"",X938&lt;&gt;"",Y938&lt;&gt;"",AC938="UNIQUE"),"READY","CHECK")))</f>
        <v/>
      </c>
    </row>
    <row r="939">
      <c r="A939" s="25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37" t="n"/>
      <c r="K939" s="34" t="n"/>
      <c r="L939" s="26" t="n"/>
      <c r="M939" s="37" t="n"/>
      <c r="N939" s="37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34" t="n"/>
      <c r="Y939" s="26" t="n"/>
      <c r="Z939" s="26" t="n"/>
      <c r="AA939" s="26" t="n"/>
      <c r="AB939" s="27" t="n"/>
      <c r="AC939" s="32">
        <f>IF(A939="","",IF(COUNTIF($H$5:$H$1004,H939)&gt;1,"DUPLICATE","UNIQUE"))</f>
        <v/>
      </c>
      <c r="AD939" s="32">
        <f>IF(A939="","",IF(AA939="Rejected",IF(AB939&lt;&gt;"","REJECTED","ADD REASON"),IF(AND(B939&lt;&gt;"",C939&lt;&gt;"",D939&lt;&gt;"",E939&lt;&gt;"",F939&lt;&gt;"",G939&lt;&gt;"",H939&lt;&gt;"",J939&lt;&gt;"",K939&lt;&gt;"",L939&lt;&gt;"",M939&lt;&gt;"",N939&lt;&gt;"",O939&lt;&gt;"",P939&lt;&gt;"",Q939&lt;&gt;"",R939&lt;&gt;"",S939&lt;&gt;"",T939&lt;&gt;"",U939&lt;&gt;"",V939&lt;&gt;"",W939&lt;&gt;"",X939&lt;&gt;"",Y939&lt;&gt;"",AC939="UNIQUE"),"READY","CHECK")))</f>
        <v/>
      </c>
    </row>
    <row r="940">
      <c r="A940" s="25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37" t="n"/>
      <c r="K940" s="34" t="n"/>
      <c r="L940" s="26" t="n"/>
      <c r="M940" s="37" t="n"/>
      <c r="N940" s="37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34" t="n"/>
      <c r="Y940" s="26" t="n"/>
      <c r="Z940" s="26" t="n"/>
      <c r="AA940" s="26" t="n"/>
      <c r="AB940" s="27" t="n"/>
      <c r="AC940" s="32">
        <f>IF(A940="","",IF(COUNTIF($H$5:$H$1004,H940)&gt;1,"DUPLICATE","UNIQUE"))</f>
        <v/>
      </c>
      <c r="AD940" s="32">
        <f>IF(A940="","",IF(AA940="Rejected",IF(AB940&lt;&gt;"","REJECTED","ADD REASON"),IF(AND(B940&lt;&gt;"",C940&lt;&gt;"",D940&lt;&gt;"",E940&lt;&gt;"",F940&lt;&gt;"",G940&lt;&gt;"",H940&lt;&gt;"",J940&lt;&gt;"",K940&lt;&gt;"",L940&lt;&gt;"",M940&lt;&gt;"",N940&lt;&gt;"",O940&lt;&gt;"",P940&lt;&gt;"",Q940&lt;&gt;"",R940&lt;&gt;"",S940&lt;&gt;"",T940&lt;&gt;"",U940&lt;&gt;"",V940&lt;&gt;"",W940&lt;&gt;"",X940&lt;&gt;"",Y940&lt;&gt;"",AC940="UNIQUE"),"READY","CHECK")))</f>
        <v/>
      </c>
    </row>
    <row r="941">
      <c r="A941" s="25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37" t="n"/>
      <c r="K941" s="34" t="n"/>
      <c r="L941" s="26" t="n"/>
      <c r="M941" s="37" t="n"/>
      <c r="N941" s="37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34" t="n"/>
      <c r="Y941" s="26" t="n"/>
      <c r="Z941" s="26" t="n"/>
      <c r="AA941" s="26" t="n"/>
      <c r="AB941" s="27" t="n"/>
      <c r="AC941" s="32">
        <f>IF(A941="","",IF(COUNTIF($H$5:$H$1004,H941)&gt;1,"DUPLICATE","UNIQUE"))</f>
        <v/>
      </c>
      <c r="AD941" s="32">
        <f>IF(A941="","",IF(AA941="Rejected",IF(AB941&lt;&gt;"","REJECTED","ADD REASON"),IF(AND(B941&lt;&gt;"",C941&lt;&gt;"",D941&lt;&gt;"",E941&lt;&gt;"",F941&lt;&gt;"",G941&lt;&gt;"",H941&lt;&gt;"",J941&lt;&gt;"",K941&lt;&gt;"",L941&lt;&gt;"",M941&lt;&gt;"",N941&lt;&gt;"",O941&lt;&gt;"",P941&lt;&gt;"",Q941&lt;&gt;"",R941&lt;&gt;"",S941&lt;&gt;"",T941&lt;&gt;"",U941&lt;&gt;"",V941&lt;&gt;"",W941&lt;&gt;"",X941&lt;&gt;"",Y941&lt;&gt;"",AC941="UNIQUE"),"READY","CHECK")))</f>
        <v/>
      </c>
    </row>
    <row r="942">
      <c r="A942" s="25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37" t="n"/>
      <c r="K942" s="34" t="n"/>
      <c r="L942" s="26" t="n"/>
      <c r="M942" s="37" t="n"/>
      <c r="N942" s="37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34" t="n"/>
      <c r="Y942" s="26" t="n"/>
      <c r="Z942" s="26" t="n"/>
      <c r="AA942" s="26" t="n"/>
      <c r="AB942" s="27" t="n"/>
      <c r="AC942" s="32">
        <f>IF(A942="","",IF(COUNTIF($H$5:$H$1004,H942)&gt;1,"DUPLICATE","UNIQUE"))</f>
        <v/>
      </c>
      <c r="AD942" s="32">
        <f>IF(A942="","",IF(AA942="Rejected",IF(AB942&lt;&gt;"","REJECTED","ADD REASON"),IF(AND(B942&lt;&gt;"",C942&lt;&gt;"",D942&lt;&gt;"",E942&lt;&gt;"",F942&lt;&gt;"",G942&lt;&gt;"",H942&lt;&gt;"",J942&lt;&gt;"",K942&lt;&gt;"",L942&lt;&gt;"",M942&lt;&gt;"",N942&lt;&gt;"",O942&lt;&gt;"",P942&lt;&gt;"",Q942&lt;&gt;"",R942&lt;&gt;"",S942&lt;&gt;"",T942&lt;&gt;"",U942&lt;&gt;"",V942&lt;&gt;"",W942&lt;&gt;"",X942&lt;&gt;"",Y942&lt;&gt;"",AC942="UNIQUE"),"READY","CHECK")))</f>
        <v/>
      </c>
    </row>
    <row r="943">
      <c r="A943" s="25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37" t="n"/>
      <c r="K943" s="34" t="n"/>
      <c r="L943" s="26" t="n"/>
      <c r="M943" s="37" t="n"/>
      <c r="N943" s="37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34" t="n"/>
      <c r="Y943" s="26" t="n"/>
      <c r="Z943" s="26" t="n"/>
      <c r="AA943" s="26" t="n"/>
      <c r="AB943" s="27" t="n"/>
      <c r="AC943" s="32">
        <f>IF(A943="","",IF(COUNTIF($H$5:$H$1004,H943)&gt;1,"DUPLICATE","UNIQUE"))</f>
        <v/>
      </c>
      <c r="AD943" s="32">
        <f>IF(A943="","",IF(AA943="Rejected",IF(AB943&lt;&gt;"","REJECTED","ADD REASON"),IF(AND(B943&lt;&gt;"",C943&lt;&gt;"",D943&lt;&gt;"",E943&lt;&gt;"",F943&lt;&gt;"",G943&lt;&gt;"",H943&lt;&gt;"",J943&lt;&gt;"",K943&lt;&gt;"",L943&lt;&gt;"",M943&lt;&gt;"",N943&lt;&gt;"",O943&lt;&gt;"",P943&lt;&gt;"",Q943&lt;&gt;"",R943&lt;&gt;"",S943&lt;&gt;"",T943&lt;&gt;"",U943&lt;&gt;"",V943&lt;&gt;"",W943&lt;&gt;"",X943&lt;&gt;"",Y943&lt;&gt;"",AC943="UNIQUE"),"READY","CHECK")))</f>
        <v/>
      </c>
    </row>
    <row r="944">
      <c r="A944" s="25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37" t="n"/>
      <c r="K944" s="34" t="n"/>
      <c r="L944" s="26" t="n"/>
      <c r="M944" s="37" t="n"/>
      <c r="N944" s="37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34" t="n"/>
      <c r="Y944" s="26" t="n"/>
      <c r="Z944" s="26" t="n"/>
      <c r="AA944" s="26" t="n"/>
      <c r="AB944" s="27" t="n"/>
      <c r="AC944" s="32">
        <f>IF(A944="","",IF(COUNTIF($H$5:$H$1004,H944)&gt;1,"DUPLICATE","UNIQUE"))</f>
        <v/>
      </c>
      <c r="AD944" s="32">
        <f>IF(A944="","",IF(AA944="Rejected",IF(AB944&lt;&gt;"","REJECTED","ADD REASON"),IF(AND(B944&lt;&gt;"",C944&lt;&gt;"",D944&lt;&gt;"",E944&lt;&gt;"",F944&lt;&gt;"",G944&lt;&gt;"",H944&lt;&gt;"",J944&lt;&gt;"",K944&lt;&gt;"",L944&lt;&gt;"",M944&lt;&gt;"",N944&lt;&gt;"",O944&lt;&gt;"",P944&lt;&gt;"",Q944&lt;&gt;"",R944&lt;&gt;"",S944&lt;&gt;"",T944&lt;&gt;"",U944&lt;&gt;"",V944&lt;&gt;"",W944&lt;&gt;"",X944&lt;&gt;"",Y944&lt;&gt;"",AC944="UNIQUE"),"READY","CHECK")))</f>
        <v/>
      </c>
    </row>
    <row r="945">
      <c r="A945" s="25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37" t="n"/>
      <c r="K945" s="34" t="n"/>
      <c r="L945" s="26" t="n"/>
      <c r="M945" s="37" t="n"/>
      <c r="N945" s="37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34" t="n"/>
      <c r="Y945" s="26" t="n"/>
      <c r="Z945" s="26" t="n"/>
      <c r="AA945" s="26" t="n"/>
      <c r="AB945" s="27" t="n"/>
      <c r="AC945" s="32">
        <f>IF(A945="","",IF(COUNTIF($H$5:$H$1004,H945)&gt;1,"DUPLICATE","UNIQUE"))</f>
        <v/>
      </c>
      <c r="AD945" s="32">
        <f>IF(A945="","",IF(AA945="Rejected",IF(AB945&lt;&gt;"","REJECTED","ADD REASON"),IF(AND(B945&lt;&gt;"",C945&lt;&gt;"",D945&lt;&gt;"",E945&lt;&gt;"",F945&lt;&gt;"",G945&lt;&gt;"",H945&lt;&gt;"",J945&lt;&gt;"",K945&lt;&gt;"",L945&lt;&gt;"",M945&lt;&gt;"",N945&lt;&gt;"",O945&lt;&gt;"",P945&lt;&gt;"",Q945&lt;&gt;"",R945&lt;&gt;"",S945&lt;&gt;"",T945&lt;&gt;"",U945&lt;&gt;"",V945&lt;&gt;"",W945&lt;&gt;"",X945&lt;&gt;"",Y945&lt;&gt;"",AC945="UNIQUE"),"READY","CHECK")))</f>
        <v/>
      </c>
    </row>
    <row r="946">
      <c r="A946" s="25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37" t="n"/>
      <c r="K946" s="34" t="n"/>
      <c r="L946" s="26" t="n"/>
      <c r="M946" s="37" t="n"/>
      <c r="N946" s="37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34" t="n"/>
      <c r="Y946" s="26" t="n"/>
      <c r="Z946" s="26" t="n"/>
      <c r="AA946" s="26" t="n"/>
      <c r="AB946" s="27" t="n"/>
      <c r="AC946" s="32">
        <f>IF(A946="","",IF(COUNTIF($H$5:$H$1004,H946)&gt;1,"DUPLICATE","UNIQUE"))</f>
        <v/>
      </c>
      <c r="AD946" s="32">
        <f>IF(A946="","",IF(AA946="Rejected",IF(AB946&lt;&gt;"","REJECTED","ADD REASON"),IF(AND(B946&lt;&gt;"",C946&lt;&gt;"",D946&lt;&gt;"",E946&lt;&gt;"",F946&lt;&gt;"",G946&lt;&gt;"",H946&lt;&gt;"",J946&lt;&gt;"",K946&lt;&gt;"",L946&lt;&gt;"",M946&lt;&gt;"",N946&lt;&gt;"",O946&lt;&gt;"",P946&lt;&gt;"",Q946&lt;&gt;"",R946&lt;&gt;"",S946&lt;&gt;"",T946&lt;&gt;"",U946&lt;&gt;"",V946&lt;&gt;"",W946&lt;&gt;"",X946&lt;&gt;"",Y946&lt;&gt;"",AC946="UNIQUE"),"READY","CHECK")))</f>
        <v/>
      </c>
    </row>
    <row r="947">
      <c r="A947" s="25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37" t="n"/>
      <c r="K947" s="34" t="n"/>
      <c r="L947" s="26" t="n"/>
      <c r="M947" s="37" t="n"/>
      <c r="N947" s="37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34" t="n"/>
      <c r="Y947" s="26" t="n"/>
      <c r="Z947" s="26" t="n"/>
      <c r="AA947" s="26" t="n"/>
      <c r="AB947" s="27" t="n"/>
      <c r="AC947" s="32">
        <f>IF(A947="","",IF(COUNTIF($H$5:$H$1004,H947)&gt;1,"DUPLICATE","UNIQUE"))</f>
        <v/>
      </c>
      <c r="AD947" s="32">
        <f>IF(A947="","",IF(AA947="Rejected",IF(AB947&lt;&gt;"","REJECTED","ADD REASON"),IF(AND(B947&lt;&gt;"",C947&lt;&gt;"",D947&lt;&gt;"",E947&lt;&gt;"",F947&lt;&gt;"",G947&lt;&gt;"",H947&lt;&gt;"",J947&lt;&gt;"",K947&lt;&gt;"",L947&lt;&gt;"",M947&lt;&gt;"",N947&lt;&gt;"",O947&lt;&gt;"",P947&lt;&gt;"",Q947&lt;&gt;"",R947&lt;&gt;"",S947&lt;&gt;"",T947&lt;&gt;"",U947&lt;&gt;"",V947&lt;&gt;"",W947&lt;&gt;"",X947&lt;&gt;"",Y947&lt;&gt;"",AC947="UNIQUE"),"READY","CHECK")))</f>
        <v/>
      </c>
    </row>
    <row r="948">
      <c r="A948" s="25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37" t="n"/>
      <c r="K948" s="34" t="n"/>
      <c r="L948" s="26" t="n"/>
      <c r="M948" s="37" t="n"/>
      <c r="N948" s="37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34" t="n"/>
      <c r="Y948" s="26" t="n"/>
      <c r="Z948" s="26" t="n"/>
      <c r="AA948" s="26" t="n"/>
      <c r="AB948" s="27" t="n"/>
      <c r="AC948" s="32">
        <f>IF(A948="","",IF(COUNTIF($H$5:$H$1004,H948)&gt;1,"DUPLICATE","UNIQUE"))</f>
        <v/>
      </c>
      <c r="AD948" s="32">
        <f>IF(A948="","",IF(AA948="Rejected",IF(AB948&lt;&gt;"","REJECTED","ADD REASON"),IF(AND(B948&lt;&gt;"",C948&lt;&gt;"",D948&lt;&gt;"",E948&lt;&gt;"",F948&lt;&gt;"",G948&lt;&gt;"",H948&lt;&gt;"",J948&lt;&gt;"",K948&lt;&gt;"",L948&lt;&gt;"",M948&lt;&gt;"",N948&lt;&gt;"",O948&lt;&gt;"",P948&lt;&gt;"",Q948&lt;&gt;"",R948&lt;&gt;"",S948&lt;&gt;"",T948&lt;&gt;"",U948&lt;&gt;"",V948&lt;&gt;"",W948&lt;&gt;"",X948&lt;&gt;"",Y948&lt;&gt;"",AC948="UNIQUE"),"READY","CHECK")))</f>
        <v/>
      </c>
    </row>
    <row r="949">
      <c r="A949" s="25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37" t="n"/>
      <c r="K949" s="34" t="n"/>
      <c r="L949" s="26" t="n"/>
      <c r="M949" s="37" t="n"/>
      <c r="N949" s="37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34" t="n"/>
      <c r="Y949" s="26" t="n"/>
      <c r="Z949" s="26" t="n"/>
      <c r="AA949" s="26" t="n"/>
      <c r="AB949" s="27" t="n"/>
      <c r="AC949" s="32">
        <f>IF(A949="","",IF(COUNTIF($H$5:$H$1004,H949)&gt;1,"DUPLICATE","UNIQUE"))</f>
        <v/>
      </c>
      <c r="AD949" s="32">
        <f>IF(A949="","",IF(AA949="Rejected",IF(AB949&lt;&gt;"","REJECTED","ADD REASON"),IF(AND(B949&lt;&gt;"",C949&lt;&gt;"",D949&lt;&gt;"",E949&lt;&gt;"",F949&lt;&gt;"",G949&lt;&gt;"",H949&lt;&gt;"",J949&lt;&gt;"",K949&lt;&gt;"",L949&lt;&gt;"",M949&lt;&gt;"",N949&lt;&gt;"",O949&lt;&gt;"",P949&lt;&gt;"",Q949&lt;&gt;"",R949&lt;&gt;"",S949&lt;&gt;"",T949&lt;&gt;"",U949&lt;&gt;"",V949&lt;&gt;"",W949&lt;&gt;"",X949&lt;&gt;"",Y949&lt;&gt;"",AC949="UNIQUE"),"READY","CHECK")))</f>
        <v/>
      </c>
    </row>
    <row r="950">
      <c r="A950" s="25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37" t="n"/>
      <c r="K950" s="34" t="n"/>
      <c r="L950" s="26" t="n"/>
      <c r="M950" s="37" t="n"/>
      <c r="N950" s="37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34" t="n"/>
      <c r="Y950" s="26" t="n"/>
      <c r="Z950" s="26" t="n"/>
      <c r="AA950" s="26" t="n"/>
      <c r="AB950" s="27" t="n"/>
      <c r="AC950" s="32">
        <f>IF(A950="","",IF(COUNTIF($H$5:$H$1004,H950)&gt;1,"DUPLICATE","UNIQUE"))</f>
        <v/>
      </c>
      <c r="AD950" s="32">
        <f>IF(A950="","",IF(AA950="Rejected",IF(AB950&lt;&gt;"","REJECTED","ADD REASON"),IF(AND(B950&lt;&gt;"",C950&lt;&gt;"",D950&lt;&gt;"",E950&lt;&gt;"",F950&lt;&gt;"",G950&lt;&gt;"",H950&lt;&gt;"",J950&lt;&gt;"",K950&lt;&gt;"",L950&lt;&gt;"",M950&lt;&gt;"",N950&lt;&gt;"",O950&lt;&gt;"",P950&lt;&gt;"",Q950&lt;&gt;"",R950&lt;&gt;"",S950&lt;&gt;"",T950&lt;&gt;"",U950&lt;&gt;"",V950&lt;&gt;"",W950&lt;&gt;"",X950&lt;&gt;"",Y950&lt;&gt;"",AC950="UNIQUE"),"READY","CHECK")))</f>
        <v/>
      </c>
    </row>
    <row r="951">
      <c r="A951" s="25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37" t="n"/>
      <c r="K951" s="34" t="n"/>
      <c r="L951" s="26" t="n"/>
      <c r="M951" s="37" t="n"/>
      <c r="N951" s="37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34" t="n"/>
      <c r="Y951" s="26" t="n"/>
      <c r="Z951" s="26" t="n"/>
      <c r="AA951" s="26" t="n"/>
      <c r="AB951" s="27" t="n"/>
      <c r="AC951" s="32">
        <f>IF(A951="","",IF(COUNTIF($H$5:$H$1004,H951)&gt;1,"DUPLICATE","UNIQUE"))</f>
        <v/>
      </c>
      <c r="AD951" s="32">
        <f>IF(A951="","",IF(AA951="Rejected",IF(AB951&lt;&gt;"","REJECTED","ADD REASON"),IF(AND(B951&lt;&gt;"",C951&lt;&gt;"",D951&lt;&gt;"",E951&lt;&gt;"",F951&lt;&gt;"",G951&lt;&gt;"",H951&lt;&gt;"",J951&lt;&gt;"",K951&lt;&gt;"",L951&lt;&gt;"",M951&lt;&gt;"",N951&lt;&gt;"",O951&lt;&gt;"",P951&lt;&gt;"",Q951&lt;&gt;"",R951&lt;&gt;"",S951&lt;&gt;"",T951&lt;&gt;"",U951&lt;&gt;"",V951&lt;&gt;"",W951&lt;&gt;"",X951&lt;&gt;"",Y951&lt;&gt;"",AC951="UNIQUE"),"READY","CHECK")))</f>
        <v/>
      </c>
    </row>
    <row r="952">
      <c r="A952" s="25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37" t="n"/>
      <c r="K952" s="34" t="n"/>
      <c r="L952" s="26" t="n"/>
      <c r="M952" s="37" t="n"/>
      <c r="N952" s="37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34" t="n"/>
      <c r="Y952" s="26" t="n"/>
      <c r="Z952" s="26" t="n"/>
      <c r="AA952" s="26" t="n"/>
      <c r="AB952" s="27" t="n"/>
      <c r="AC952" s="32">
        <f>IF(A952="","",IF(COUNTIF($H$5:$H$1004,H952)&gt;1,"DUPLICATE","UNIQUE"))</f>
        <v/>
      </c>
      <c r="AD952" s="32">
        <f>IF(A952="","",IF(AA952="Rejected",IF(AB952&lt;&gt;"","REJECTED","ADD REASON"),IF(AND(B952&lt;&gt;"",C952&lt;&gt;"",D952&lt;&gt;"",E952&lt;&gt;"",F952&lt;&gt;"",G952&lt;&gt;"",H952&lt;&gt;"",J952&lt;&gt;"",K952&lt;&gt;"",L952&lt;&gt;"",M952&lt;&gt;"",N952&lt;&gt;"",O952&lt;&gt;"",P952&lt;&gt;"",Q952&lt;&gt;"",R952&lt;&gt;"",S952&lt;&gt;"",T952&lt;&gt;"",U952&lt;&gt;"",V952&lt;&gt;"",W952&lt;&gt;"",X952&lt;&gt;"",Y952&lt;&gt;"",AC952="UNIQUE"),"READY","CHECK")))</f>
        <v/>
      </c>
    </row>
    <row r="953">
      <c r="A953" s="25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37" t="n"/>
      <c r="K953" s="34" t="n"/>
      <c r="L953" s="26" t="n"/>
      <c r="M953" s="37" t="n"/>
      <c r="N953" s="37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34" t="n"/>
      <c r="Y953" s="26" t="n"/>
      <c r="Z953" s="26" t="n"/>
      <c r="AA953" s="26" t="n"/>
      <c r="AB953" s="27" t="n"/>
      <c r="AC953" s="32">
        <f>IF(A953="","",IF(COUNTIF($H$5:$H$1004,H953)&gt;1,"DUPLICATE","UNIQUE"))</f>
        <v/>
      </c>
      <c r="AD953" s="32">
        <f>IF(A953="","",IF(AA953="Rejected",IF(AB953&lt;&gt;"","REJECTED","ADD REASON"),IF(AND(B953&lt;&gt;"",C953&lt;&gt;"",D953&lt;&gt;"",E953&lt;&gt;"",F953&lt;&gt;"",G953&lt;&gt;"",H953&lt;&gt;"",J953&lt;&gt;"",K953&lt;&gt;"",L953&lt;&gt;"",M953&lt;&gt;"",N953&lt;&gt;"",O953&lt;&gt;"",P953&lt;&gt;"",Q953&lt;&gt;"",R953&lt;&gt;"",S953&lt;&gt;"",T953&lt;&gt;"",U953&lt;&gt;"",V953&lt;&gt;"",W953&lt;&gt;"",X953&lt;&gt;"",Y953&lt;&gt;"",AC953="UNIQUE"),"READY","CHECK")))</f>
        <v/>
      </c>
    </row>
    <row r="954">
      <c r="A954" s="25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37" t="n"/>
      <c r="K954" s="34" t="n"/>
      <c r="L954" s="26" t="n"/>
      <c r="M954" s="37" t="n"/>
      <c r="N954" s="37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34" t="n"/>
      <c r="Y954" s="26" t="n"/>
      <c r="Z954" s="26" t="n"/>
      <c r="AA954" s="26" t="n"/>
      <c r="AB954" s="27" t="n"/>
      <c r="AC954" s="32">
        <f>IF(A954="","",IF(COUNTIF($H$5:$H$1004,H954)&gt;1,"DUPLICATE","UNIQUE"))</f>
        <v/>
      </c>
      <c r="AD954" s="32">
        <f>IF(A954="","",IF(AA954="Rejected",IF(AB954&lt;&gt;"","REJECTED","ADD REASON"),IF(AND(B954&lt;&gt;"",C954&lt;&gt;"",D954&lt;&gt;"",E954&lt;&gt;"",F954&lt;&gt;"",G954&lt;&gt;"",H954&lt;&gt;"",J954&lt;&gt;"",K954&lt;&gt;"",L954&lt;&gt;"",M954&lt;&gt;"",N954&lt;&gt;"",O954&lt;&gt;"",P954&lt;&gt;"",Q954&lt;&gt;"",R954&lt;&gt;"",S954&lt;&gt;"",T954&lt;&gt;"",U954&lt;&gt;"",V954&lt;&gt;"",W954&lt;&gt;"",X954&lt;&gt;"",Y954&lt;&gt;"",AC954="UNIQUE"),"READY","CHECK")))</f>
        <v/>
      </c>
    </row>
    <row r="955">
      <c r="A955" s="25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37" t="n"/>
      <c r="K955" s="34" t="n"/>
      <c r="L955" s="26" t="n"/>
      <c r="M955" s="37" t="n"/>
      <c r="N955" s="37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34" t="n"/>
      <c r="Y955" s="26" t="n"/>
      <c r="Z955" s="26" t="n"/>
      <c r="AA955" s="26" t="n"/>
      <c r="AB955" s="27" t="n"/>
      <c r="AC955" s="32">
        <f>IF(A955="","",IF(COUNTIF($H$5:$H$1004,H955)&gt;1,"DUPLICATE","UNIQUE"))</f>
        <v/>
      </c>
      <c r="AD955" s="32">
        <f>IF(A955="","",IF(AA955="Rejected",IF(AB955&lt;&gt;"","REJECTED","ADD REASON"),IF(AND(B955&lt;&gt;"",C955&lt;&gt;"",D955&lt;&gt;"",E955&lt;&gt;"",F955&lt;&gt;"",G955&lt;&gt;"",H955&lt;&gt;"",J955&lt;&gt;"",K955&lt;&gt;"",L955&lt;&gt;"",M955&lt;&gt;"",N955&lt;&gt;"",O955&lt;&gt;"",P955&lt;&gt;"",Q955&lt;&gt;"",R955&lt;&gt;"",S955&lt;&gt;"",T955&lt;&gt;"",U955&lt;&gt;"",V955&lt;&gt;"",W955&lt;&gt;"",X955&lt;&gt;"",Y955&lt;&gt;"",AC955="UNIQUE"),"READY","CHECK")))</f>
        <v/>
      </c>
    </row>
    <row r="956">
      <c r="A956" s="25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37" t="n"/>
      <c r="K956" s="34" t="n"/>
      <c r="L956" s="26" t="n"/>
      <c r="M956" s="37" t="n"/>
      <c r="N956" s="37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34" t="n"/>
      <c r="Y956" s="26" t="n"/>
      <c r="Z956" s="26" t="n"/>
      <c r="AA956" s="26" t="n"/>
      <c r="AB956" s="27" t="n"/>
      <c r="AC956" s="32">
        <f>IF(A956="","",IF(COUNTIF($H$5:$H$1004,H956)&gt;1,"DUPLICATE","UNIQUE"))</f>
        <v/>
      </c>
      <c r="AD956" s="32">
        <f>IF(A956="","",IF(AA956="Rejected",IF(AB956&lt;&gt;"","REJECTED","ADD REASON"),IF(AND(B956&lt;&gt;"",C956&lt;&gt;"",D956&lt;&gt;"",E956&lt;&gt;"",F956&lt;&gt;"",G956&lt;&gt;"",H956&lt;&gt;"",J956&lt;&gt;"",K956&lt;&gt;"",L956&lt;&gt;"",M956&lt;&gt;"",N956&lt;&gt;"",O956&lt;&gt;"",P956&lt;&gt;"",Q956&lt;&gt;"",R956&lt;&gt;"",S956&lt;&gt;"",T956&lt;&gt;"",U956&lt;&gt;"",V956&lt;&gt;"",W956&lt;&gt;"",X956&lt;&gt;"",Y956&lt;&gt;"",AC956="UNIQUE"),"READY","CHECK")))</f>
        <v/>
      </c>
    </row>
    <row r="957">
      <c r="A957" s="25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37" t="n"/>
      <c r="K957" s="34" t="n"/>
      <c r="L957" s="26" t="n"/>
      <c r="M957" s="37" t="n"/>
      <c r="N957" s="37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34" t="n"/>
      <c r="Y957" s="26" t="n"/>
      <c r="Z957" s="26" t="n"/>
      <c r="AA957" s="26" t="n"/>
      <c r="AB957" s="27" t="n"/>
      <c r="AC957" s="32">
        <f>IF(A957="","",IF(COUNTIF($H$5:$H$1004,H957)&gt;1,"DUPLICATE","UNIQUE"))</f>
        <v/>
      </c>
      <c r="AD957" s="32">
        <f>IF(A957="","",IF(AA957="Rejected",IF(AB957&lt;&gt;"","REJECTED","ADD REASON"),IF(AND(B957&lt;&gt;"",C957&lt;&gt;"",D957&lt;&gt;"",E957&lt;&gt;"",F957&lt;&gt;"",G957&lt;&gt;"",H957&lt;&gt;"",J957&lt;&gt;"",K957&lt;&gt;"",L957&lt;&gt;"",M957&lt;&gt;"",N957&lt;&gt;"",O957&lt;&gt;"",P957&lt;&gt;"",Q957&lt;&gt;"",R957&lt;&gt;"",S957&lt;&gt;"",T957&lt;&gt;"",U957&lt;&gt;"",V957&lt;&gt;"",W957&lt;&gt;"",X957&lt;&gt;"",Y957&lt;&gt;"",AC957="UNIQUE"),"READY","CHECK")))</f>
        <v/>
      </c>
    </row>
    <row r="958">
      <c r="A958" s="25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37" t="n"/>
      <c r="K958" s="34" t="n"/>
      <c r="L958" s="26" t="n"/>
      <c r="M958" s="37" t="n"/>
      <c r="N958" s="37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34" t="n"/>
      <c r="Y958" s="26" t="n"/>
      <c r="Z958" s="26" t="n"/>
      <c r="AA958" s="26" t="n"/>
      <c r="AB958" s="27" t="n"/>
      <c r="AC958" s="32">
        <f>IF(A958="","",IF(COUNTIF($H$5:$H$1004,H958)&gt;1,"DUPLICATE","UNIQUE"))</f>
        <v/>
      </c>
      <c r="AD958" s="32">
        <f>IF(A958="","",IF(AA958="Rejected",IF(AB958&lt;&gt;"","REJECTED","ADD REASON"),IF(AND(B958&lt;&gt;"",C958&lt;&gt;"",D958&lt;&gt;"",E958&lt;&gt;"",F958&lt;&gt;"",G958&lt;&gt;"",H958&lt;&gt;"",J958&lt;&gt;"",K958&lt;&gt;"",L958&lt;&gt;"",M958&lt;&gt;"",N958&lt;&gt;"",O958&lt;&gt;"",P958&lt;&gt;"",Q958&lt;&gt;"",R958&lt;&gt;"",S958&lt;&gt;"",T958&lt;&gt;"",U958&lt;&gt;"",V958&lt;&gt;"",W958&lt;&gt;"",X958&lt;&gt;"",Y958&lt;&gt;"",AC958="UNIQUE"),"READY","CHECK")))</f>
        <v/>
      </c>
    </row>
    <row r="959">
      <c r="A959" s="25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37" t="n"/>
      <c r="K959" s="34" t="n"/>
      <c r="L959" s="26" t="n"/>
      <c r="M959" s="37" t="n"/>
      <c r="N959" s="37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34" t="n"/>
      <c r="Y959" s="26" t="n"/>
      <c r="Z959" s="26" t="n"/>
      <c r="AA959" s="26" t="n"/>
      <c r="AB959" s="27" t="n"/>
      <c r="AC959" s="32">
        <f>IF(A959="","",IF(COUNTIF($H$5:$H$1004,H959)&gt;1,"DUPLICATE","UNIQUE"))</f>
        <v/>
      </c>
      <c r="AD959" s="32">
        <f>IF(A959="","",IF(AA959="Rejected",IF(AB959&lt;&gt;"","REJECTED","ADD REASON"),IF(AND(B959&lt;&gt;"",C959&lt;&gt;"",D959&lt;&gt;"",E959&lt;&gt;"",F959&lt;&gt;"",G959&lt;&gt;"",H959&lt;&gt;"",J959&lt;&gt;"",K959&lt;&gt;"",L959&lt;&gt;"",M959&lt;&gt;"",N959&lt;&gt;"",O959&lt;&gt;"",P959&lt;&gt;"",Q959&lt;&gt;"",R959&lt;&gt;"",S959&lt;&gt;"",T959&lt;&gt;"",U959&lt;&gt;"",V959&lt;&gt;"",W959&lt;&gt;"",X959&lt;&gt;"",Y959&lt;&gt;"",AC959="UNIQUE"),"READY","CHECK")))</f>
        <v/>
      </c>
    </row>
    <row r="960">
      <c r="A960" s="25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37" t="n"/>
      <c r="K960" s="34" t="n"/>
      <c r="L960" s="26" t="n"/>
      <c r="M960" s="37" t="n"/>
      <c r="N960" s="37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34" t="n"/>
      <c r="Y960" s="26" t="n"/>
      <c r="Z960" s="26" t="n"/>
      <c r="AA960" s="26" t="n"/>
      <c r="AB960" s="27" t="n"/>
      <c r="AC960" s="32">
        <f>IF(A960="","",IF(COUNTIF($H$5:$H$1004,H960)&gt;1,"DUPLICATE","UNIQUE"))</f>
        <v/>
      </c>
      <c r="AD960" s="32">
        <f>IF(A960="","",IF(AA960="Rejected",IF(AB960&lt;&gt;"","REJECTED","ADD REASON"),IF(AND(B960&lt;&gt;"",C960&lt;&gt;"",D960&lt;&gt;"",E960&lt;&gt;"",F960&lt;&gt;"",G960&lt;&gt;"",H960&lt;&gt;"",J960&lt;&gt;"",K960&lt;&gt;"",L960&lt;&gt;"",M960&lt;&gt;"",N960&lt;&gt;"",O960&lt;&gt;"",P960&lt;&gt;"",Q960&lt;&gt;"",R960&lt;&gt;"",S960&lt;&gt;"",T960&lt;&gt;"",U960&lt;&gt;"",V960&lt;&gt;"",W960&lt;&gt;"",X960&lt;&gt;"",Y960&lt;&gt;"",AC960="UNIQUE"),"READY","CHECK")))</f>
        <v/>
      </c>
    </row>
    <row r="961">
      <c r="A961" s="25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37" t="n"/>
      <c r="K961" s="34" t="n"/>
      <c r="L961" s="26" t="n"/>
      <c r="M961" s="37" t="n"/>
      <c r="N961" s="37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34" t="n"/>
      <c r="Y961" s="26" t="n"/>
      <c r="Z961" s="26" t="n"/>
      <c r="AA961" s="26" t="n"/>
      <c r="AB961" s="27" t="n"/>
      <c r="AC961" s="32">
        <f>IF(A961="","",IF(COUNTIF($H$5:$H$1004,H961)&gt;1,"DUPLICATE","UNIQUE"))</f>
        <v/>
      </c>
      <c r="AD961" s="32">
        <f>IF(A961="","",IF(AA961="Rejected",IF(AB961&lt;&gt;"","REJECTED","ADD REASON"),IF(AND(B961&lt;&gt;"",C961&lt;&gt;"",D961&lt;&gt;"",E961&lt;&gt;"",F961&lt;&gt;"",G961&lt;&gt;"",H961&lt;&gt;"",J961&lt;&gt;"",K961&lt;&gt;"",L961&lt;&gt;"",M961&lt;&gt;"",N961&lt;&gt;"",O961&lt;&gt;"",P961&lt;&gt;"",Q961&lt;&gt;"",R961&lt;&gt;"",S961&lt;&gt;"",T961&lt;&gt;"",U961&lt;&gt;"",V961&lt;&gt;"",W961&lt;&gt;"",X961&lt;&gt;"",Y961&lt;&gt;"",AC961="UNIQUE"),"READY","CHECK")))</f>
        <v/>
      </c>
    </row>
    <row r="962">
      <c r="A962" s="25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37" t="n"/>
      <c r="K962" s="34" t="n"/>
      <c r="L962" s="26" t="n"/>
      <c r="M962" s="37" t="n"/>
      <c r="N962" s="37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34" t="n"/>
      <c r="Y962" s="26" t="n"/>
      <c r="Z962" s="26" t="n"/>
      <c r="AA962" s="26" t="n"/>
      <c r="AB962" s="27" t="n"/>
      <c r="AC962" s="32">
        <f>IF(A962="","",IF(COUNTIF($H$5:$H$1004,H962)&gt;1,"DUPLICATE","UNIQUE"))</f>
        <v/>
      </c>
      <c r="AD962" s="32">
        <f>IF(A962="","",IF(AA962="Rejected",IF(AB962&lt;&gt;"","REJECTED","ADD REASON"),IF(AND(B962&lt;&gt;"",C962&lt;&gt;"",D962&lt;&gt;"",E962&lt;&gt;"",F962&lt;&gt;"",G962&lt;&gt;"",H962&lt;&gt;"",J962&lt;&gt;"",K962&lt;&gt;"",L962&lt;&gt;"",M962&lt;&gt;"",N962&lt;&gt;"",O962&lt;&gt;"",P962&lt;&gt;"",Q962&lt;&gt;"",R962&lt;&gt;"",S962&lt;&gt;"",T962&lt;&gt;"",U962&lt;&gt;"",V962&lt;&gt;"",W962&lt;&gt;"",X962&lt;&gt;"",Y962&lt;&gt;"",AC962="UNIQUE"),"READY","CHECK")))</f>
        <v/>
      </c>
    </row>
    <row r="963">
      <c r="A963" s="25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37" t="n"/>
      <c r="K963" s="34" t="n"/>
      <c r="L963" s="26" t="n"/>
      <c r="M963" s="37" t="n"/>
      <c r="N963" s="37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34" t="n"/>
      <c r="Y963" s="26" t="n"/>
      <c r="Z963" s="26" t="n"/>
      <c r="AA963" s="26" t="n"/>
      <c r="AB963" s="27" t="n"/>
      <c r="AC963" s="32">
        <f>IF(A963="","",IF(COUNTIF($H$5:$H$1004,H963)&gt;1,"DUPLICATE","UNIQUE"))</f>
        <v/>
      </c>
      <c r="AD963" s="32">
        <f>IF(A963="","",IF(AA963="Rejected",IF(AB963&lt;&gt;"","REJECTED","ADD REASON"),IF(AND(B963&lt;&gt;"",C963&lt;&gt;"",D963&lt;&gt;"",E963&lt;&gt;"",F963&lt;&gt;"",G963&lt;&gt;"",H963&lt;&gt;"",J963&lt;&gt;"",K963&lt;&gt;"",L963&lt;&gt;"",M963&lt;&gt;"",N963&lt;&gt;"",O963&lt;&gt;"",P963&lt;&gt;"",Q963&lt;&gt;"",R963&lt;&gt;"",S963&lt;&gt;"",T963&lt;&gt;"",U963&lt;&gt;"",V963&lt;&gt;"",W963&lt;&gt;"",X963&lt;&gt;"",Y963&lt;&gt;"",AC963="UNIQUE"),"READY","CHECK")))</f>
        <v/>
      </c>
    </row>
    <row r="964">
      <c r="A964" s="25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37" t="n"/>
      <c r="K964" s="34" t="n"/>
      <c r="L964" s="26" t="n"/>
      <c r="M964" s="37" t="n"/>
      <c r="N964" s="37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34" t="n"/>
      <c r="Y964" s="26" t="n"/>
      <c r="Z964" s="26" t="n"/>
      <c r="AA964" s="26" t="n"/>
      <c r="AB964" s="27" t="n"/>
      <c r="AC964" s="32">
        <f>IF(A964="","",IF(COUNTIF($H$5:$H$1004,H964)&gt;1,"DUPLICATE","UNIQUE"))</f>
        <v/>
      </c>
      <c r="AD964" s="32">
        <f>IF(A964="","",IF(AA964="Rejected",IF(AB964&lt;&gt;"","REJECTED","ADD REASON"),IF(AND(B964&lt;&gt;"",C964&lt;&gt;"",D964&lt;&gt;"",E964&lt;&gt;"",F964&lt;&gt;"",G964&lt;&gt;"",H964&lt;&gt;"",J964&lt;&gt;"",K964&lt;&gt;"",L964&lt;&gt;"",M964&lt;&gt;"",N964&lt;&gt;"",O964&lt;&gt;"",P964&lt;&gt;"",Q964&lt;&gt;"",R964&lt;&gt;"",S964&lt;&gt;"",T964&lt;&gt;"",U964&lt;&gt;"",V964&lt;&gt;"",W964&lt;&gt;"",X964&lt;&gt;"",Y964&lt;&gt;"",AC964="UNIQUE"),"READY","CHECK")))</f>
        <v/>
      </c>
    </row>
    <row r="965">
      <c r="A965" s="25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37" t="n"/>
      <c r="K965" s="34" t="n"/>
      <c r="L965" s="26" t="n"/>
      <c r="M965" s="37" t="n"/>
      <c r="N965" s="37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34" t="n"/>
      <c r="Y965" s="26" t="n"/>
      <c r="Z965" s="26" t="n"/>
      <c r="AA965" s="26" t="n"/>
      <c r="AB965" s="27" t="n"/>
      <c r="AC965" s="32">
        <f>IF(A965="","",IF(COUNTIF($H$5:$H$1004,H965)&gt;1,"DUPLICATE","UNIQUE"))</f>
        <v/>
      </c>
      <c r="AD965" s="32">
        <f>IF(A965="","",IF(AA965="Rejected",IF(AB965&lt;&gt;"","REJECTED","ADD REASON"),IF(AND(B965&lt;&gt;"",C965&lt;&gt;"",D965&lt;&gt;"",E965&lt;&gt;"",F965&lt;&gt;"",G965&lt;&gt;"",H965&lt;&gt;"",J965&lt;&gt;"",K965&lt;&gt;"",L965&lt;&gt;"",M965&lt;&gt;"",N965&lt;&gt;"",O965&lt;&gt;"",P965&lt;&gt;"",Q965&lt;&gt;"",R965&lt;&gt;"",S965&lt;&gt;"",T965&lt;&gt;"",U965&lt;&gt;"",V965&lt;&gt;"",W965&lt;&gt;"",X965&lt;&gt;"",Y965&lt;&gt;"",AC965="UNIQUE"),"READY","CHECK")))</f>
        <v/>
      </c>
    </row>
    <row r="966">
      <c r="A966" s="25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37" t="n"/>
      <c r="K966" s="34" t="n"/>
      <c r="L966" s="26" t="n"/>
      <c r="M966" s="37" t="n"/>
      <c r="N966" s="37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34" t="n"/>
      <c r="Y966" s="26" t="n"/>
      <c r="Z966" s="26" t="n"/>
      <c r="AA966" s="26" t="n"/>
      <c r="AB966" s="27" t="n"/>
      <c r="AC966" s="32">
        <f>IF(A966="","",IF(COUNTIF($H$5:$H$1004,H966)&gt;1,"DUPLICATE","UNIQUE"))</f>
        <v/>
      </c>
      <c r="AD966" s="32">
        <f>IF(A966="","",IF(AA966="Rejected",IF(AB966&lt;&gt;"","REJECTED","ADD REASON"),IF(AND(B966&lt;&gt;"",C966&lt;&gt;"",D966&lt;&gt;"",E966&lt;&gt;"",F966&lt;&gt;"",G966&lt;&gt;"",H966&lt;&gt;"",J966&lt;&gt;"",K966&lt;&gt;"",L966&lt;&gt;"",M966&lt;&gt;"",N966&lt;&gt;"",O966&lt;&gt;"",P966&lt;&gt;"",Q966&lt;&gt;"",R966&lt;&gt;"",S966&lt;&gt;"",T966&lt;&gt;"",U966&lt;&gt;"",V966&lt;&gt;"",W966&lt;&gt;"",X966&lt;&gt;"",Y966&lt;&gt;"",AC966="UNIQUE"),"READY","CHECK")))</f>
        <v/>
      </c>
    </row>
    <row r="967">
      <c r="A967" s="25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37" t="n"/>
      <c r="K967" s="34" t="n"/>
      <c r="L967" s="26" t="n"/>
      <c r="M967" s="37" t="n"/>
      <c r="N967" s="37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34" t="n"/>
      <c r="Y967" s="26" t="n"/>
      <c r="Z967" s="26" t="n"/>
      <c r="AA967" s="26" t="n"/>
      <c r="AB967" s="27" t="n"/>
      <c r="AC967" s="32">
        <f>IF(A967="","",IF(COUNTIF($H$5:$H$1004,H967)&gt;1,"DUPLICATE","UNIQUE"))</f>
        <v/>
      </c>
      <c r="AD967" s="32">
        <f>IF(A967="","",IF(AA967="Rejected",IF(AB967&lt;&gt;"","REJECTED","ADD REASON"),IF(AND(B967&lt;&gt;"",C967&lt;&gt;"",D967&lt;&gt;"",E967&lt;&gt;"",F967&lt;&gt;"",G967&lt;&gt;"",H967&lt;&gt;"",J967&lt;&gt;"",K967&lt;&gt;"",L967&lt;&gt;"",M967&lt;&gt;"",N967&lt;&gt;"",O967&lt;&gt;"",P967&lt;&gt;"",Q967&lt;&gt;"",R967&lt;&gt;"",S967&lt;&gt;"",T967&lt;&gt;"",U967&lt;&gt;"",V967&lt;&gt;"",W967&lt;&gt;"",X967&lt;&gt;"",Y967&lt;&gt;"",AC967="UNIQUE"),"READY","CHECK")))</f>
        <v/>
      </c>
    </row>
    <row r="968">
      <c r="A968" s="25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37" t="n"/>
      <c r="K968" s="34" t="n"/>
      <c r="L968" s="26" t="n"/>
      <c r="M968" s="37" t="n"/>
      <c r="N968" s="37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34" t="n"/>
      <c r="Y968" s="26" t="n"/>
      <c r="Z968" s="26" t="n"/>
      <c r="AA968" s="26" t="n"/>
      <c r="AB968" s="27" t="n"/>
      <c r="AC968" s="32">
        <f>IF(A968="","",IF(COUNTIF($H$5:$H$1004,H968)&gt;1,"DUPLICATE","UNIQUE"))</f>
        <v/>
      </c>
      <c r="AD968" s="32">
        <f>IF(A968="","",IF(AA968="Rejected",IF(AB968&lt;&gt;"","REJECTED","ADD REASON"),IF(AND(B968&lt;&gt;"",C968&lt;&gt;"",D968&lt;&gt;"",E968&lt;&gt;"",F968&lt;&gt;"",G968&lt;&gt;"",H968&lt;&gt;"",J968&lt;&gt;"",K968&lt;&gt;"",L968&lt;&gt;"",M968&lt;&gt;"",N968&lt;&gt;"",O968&lt;&gt;"",P968&lt;&gt;"",Q968&lt;&gt;"",R968&lt;&gt;"",S968&lt;&gt;"",T968&lt;&gt;"",U968&lt;&gt;"",V968&lt;&gt;"",W968&lt;&gt;"",X968&lt;&gt;"",Y968&lt;&gt;"",AC968="UNIQUE"),"READY","CHECK")))</f>
        <v/>
      </c>
    </row>
    <row r="969">
      <c r="A969" s="25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37" t="n"/>
      <c r="K969" s="34" t="n"/>
      <c r="L969" s="26" t="n"/>
      <c r="M969" s="37" t="n"/>
      <c r="N969" s="37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34" t="n"/>
      <c r="Y969" s="26" t="n"/>
      <c r="Z969" s="26" t="n"/>
      <c r="AA969" s="26" t="n"/>
      <c r="AB969" s="27" t="n"/>
      <c r="AC969" s="32">
        <f>IF(A969="","",IF(COUNTIF($H$5:$H$1004,H969)&gt;1,"DUPLICATE","UNIQUE"))</f>
        <v/>
      </c>
      <c r="AD969" s="32">
        <f>IF(A969="","",IF(AA969="Rejected",IF(AB969&lt;&gt;"","REJECTED","ADD REASON"),IF(AND(B969&lt;&gt;"",C969&lt;&gt;"",D969&lt;&gt;"",E969&lt;&gt;"",F969&lt;&gt;"",G969&lt;&gt;"",H969&lt;&gt;"",J969&lt;&gt;"",K969&lt;&gt;"",L969&lt;&gt;"",M969&lt;&gt;"",N969&lt;&gt;"",O969&lt;&gt;"",P969&lt;&gt;"",Q969&lt;&gt;"",R969&lt;&gt;"",S969&lt;&gt;"",T969&lt;&gt;"",U969&lt;&gt;"",V969&lt;&gt;"",W969&lt;&gt;"",X969&lt;&gt;"",Y969&lt;&gt;"",AC969="UNIQUE"),"READY","CHECK")))</f>
        <v/>
      </c>
    </row>
    <row r="970">
      <c r="A970" s="25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37" t="n"/>
      <c r="K970" s="34" t="n"/>
      <c r="L970" s="26" t="n"/>
      <c r="M970" s="37" t="n"/>
      <c r="N970" s="37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34" t="n"/>
      <c r="Y970" s="26" t="n"/>
      <c r="Z970" s="26" t="n"/>
      <c r="AA970" s="26" t="n"/>
      <c r="AB970" s="27" t="n"/>
      <c r="AC970" s="32">
        <f>IF(A970="","",IF(COUNTIF($H$5:$H$1004,H970)&gt;1,"DUPLICATE","UNIQUE"))</f>
        <v/>
      </c>
      <c r="AD970" s="32">
        <f>IF(A970="","",IF(AA970="Rejected",IF(AB970&lt;&gt;"","REJECTED","ADD REASON"),IF(AND(B970&lt;&gt;"",C970&lt;&gt;"",D970&lt;&gt;"",E970&lt;&gt;"",F970&lt;&gt;"",G970&lt;&gt;"",H970&lt;&gt;"",J970&lt;&gt;"",K970&lt;&gt;"",L970&lt;&gt;"",M970&lt;&gt;"",N970&lt;&gt;"",O970&lt;&gt;"",P970&lt;&gt;"",Q970&lt;&gt;"",R970&lt;&gt;"",S970&lt;&gt;"",T970&lt;&gt;"",U970&lt;&gt;"",V970&lt;&gt;"",W970&lt;&gt;"",X970&lt;&gt;"",Y970&lt;&gt;"",AC970="UNIQUE"),"READY","CHECK")))</f>
        <v/>
      </c>
    </row>
    <row r="971">
      <c r="A971" s="25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37" t="n"/>
      <c r="K971" s="34" t="n"/>
      <c r="L971" s="26" t="n"/>
      <c r="M971" s="37" t="n"/>
      <c r="N971" s="37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34" t="n"/>
      <c r="Y971" s="26" t="n"/>
      <c r="Z971" s="26" t="n"/>
      <c r="AA971" s="26" t="n"/>
      <c r="AB971" s="27" t="n"/>
      <c r="AC971" s="32">
        <f>IF(A971="","",IF(COUNTIF($H$5:$H$1004,H971)&gt;1,"DUPLICATE","UNIQUE"))</f>
        <v/>
      </c>
      <c r="AD971" s="32">
        <f>IF(A971="","",IF(AA971="Rejected",IF(AB971&lt;&gt;"","REJECTED","ADD REASON"),IF(AND(B971&lt;&gt;"",C971&lt;&gt;"",D971&lt;&gt;"",E971&lt;&gt;"",F971&lt;&gt;"",G971&lt;&gt;"",H971&lt;&gt;"",J971&lt;&gt;"",K971&lt;&gt;"",L971&lt;&gt;"",M971&lt;&gt;"",N971&lt;&gt;"",O971&lt;&gt;"",P971&lt;&gt;"",Q971&lt;&gt;"",R971&lt;&gt;"",S971&lt;&gt;"",T971&lt;&gt;"",U971&lt;&gt;"",V971&lt;&gt;"",W971&lt;&gt;"",X971&lt;&gt;"",Y971&lt;&gt;"",AC971="UNIQUE"),"READY","CHECK")))</f>
        <v/>
      </c>
    </row>
    <row r="972">
      <c r="A972" s="25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37" t="n"/>
      <c r="K972" s="34" t="n"/>
      <c r="L972" s="26" t="n"/>
      <c r="M972" s="37" t="n"/>
      <c r="N972" s="37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34" t="n"/>
      <c r="Y972" s="26" t="n"/>
      <c r="Z972" s="26" t="n"/>
      <c r="AA972" s="26" t="n"/>
      <c r="AB972" s="27" t="n"/>
      <c r="AC972" s="32">
        <f>IF(A972="","",IF(COUNTIF($H$5:$H$1004,H972)&gt;1,"DUPLICATE","UNIQUE"))</f>
        <v/>
      </c>
      <c r="AD972" s="32">
        <f>IF(A972="","",IF(AA972="Rejected",IF(AB972&lt;&gt;"","REJECTED","ADD REASON"),IF(AND(B972&lt;&gt;"",C972&lt;&gt;"",D972&lt;&gt;"",E972&lt;&gt;"",F972&lt;&gt;"",G972&lt;&gt;"",H972&lt;&gt;"",J972&lt;&gt;"",K972&lt;&gt;"",L972&lt;&gt;"",M972&lt;&gt;"",N972&lt;&gt;"",O972&lt;&gt;"",P972&lt;&gt;"",Q972&lt;&gt;"",R972&lt;&gt;"",S972&lt;&gt;"",T972&lt;&gt;"",U972&lt;&gt;"",V972&lt;&gt;"",W972&lt;&gt;"",X972&lt;&gt;"",Y972&lt;&gt;"",AC972="UNIQUE"),"READY","CHECK")))</f>
        <v/>
      </c>
    </row>
    <row r="973">
      <c r="A973" s="25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37" t="n"/>
      <c r="K973" s="34" t="n"/>
      <c r="L973" s="26" t="n"/>
      <c r="M973" s="37" t="n"/>
      <c r="N973" s="37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34" t="n"/>
      <c r="Y973" s="26" t="n"/>
      <c r="Z973" s="26" t="n"/>
      <c r="AA973" s="26" t="n"/>
      <c r="AB973" s="27" t="n"/>
      <c r="AC973" s="32">
        <f>IF(A973="","",IF(COUNTIF($H$5:$H$1004,H973)&gt;1,"DUPLICATE","UNIQUE"))</f>
        <v/>
      </c>
      <c r="AD973" s="32">
        <f>IF(A973="","",IF(AA973="Rejected",IF(AB973&lt;&gt;"","REJECTED","ADD REASON"),IF(AND(B973&lt;&gt;"",C973&lt;&gt;"",D973&lt;&gt;"",E973&lt;&gt;"",F973&lt;&gt;"",G973&lt;&gt;"",H973&lt;&gt;"",J973&lt;&gt;"",K973&lt;&gt;"",L973&lt;&gt;"",M973&lt;&gt;"",N973&lt;&gt;"",O973&lt;&gt;"",P973&lt;&gt;"",Q973&lt;&gt;"",R973&lt;&gt;"",S973&lt;&gt;"",T973&lt;&gt;"",U973&lt;&gt;"",V973&lt;&gt;"",W973&lt;&gt;"",X973&lt;&gt;"",Y973&lt;&gt;"",AC973="UNIQUE"),"READY","CHECK")))</f>
        <v/>
      </c>
    </row>
    <row r="974">
      <c r="A974" s="25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37" t="n"/>
      <c r="K974" s="34" t="n"/>
      <c r="L974" s="26" t="n"/>
      <c r="M974" s="37" t="n"/>
      <c r="N974" s="37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34" t="n"/>
      <c r="Y974" s="26" t="n"/>
      <c r="Z974" s="26" t="n"/>
      <c r="AA974" s="26" t="n"/>
      <c r="AB974" s="27" t="n"/>
      <c r="AC974" s="32">
        <f>IF(A974="","",IF(COUNTIF($H$5:$H$1004,H974)&gt;1,"DUPLICATE","UNIQUE"))</f>
        <v/>
      </c>
      <c r="AD974" s="32">
        <f>IF(A974="","",IF(AA974="Rejected",IF(AB974&lt;&gt;"","REJECTED","ADD REASON"),IF(AND(B974&lt;&gt;"",C974&lt;&gt;"",D974&lt;&gt;"",E974&lt;&gt;"",F974&lt;&gt;"",G974&lt;&gt;"",H974&lt;&gt;"",J974&lt;&gt;"",K974&lt;&gt;"",L974&lt;&gt;"",M974&lt;&gt;"",N974&lt;&gt;"",O974&lt;&gt;"",P974&lt;&gt;"",Q974&lt;&gt;"",R974&lt;&gt;"",S974&lt;&gt;"",T974&lt;&gt;"",U974&lt;&gt;"",V974&lt;&gt;"",W974&lt;&gt;"",X974&lt;&gt;"",Y974&lt;&gt;"",AC974="UNIQUE"),"READY","CHECK")))</f>
        <v/>
      </c>
    </row>
    <row r="975">
      <c r="A975" s="25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37" t="n"/>
      <c r="K975" s="34" t="n"/>
      <c r="L975" s="26" t="n"/>
      <c r="M975" s="37" t="n"/>
      <c r="N975" s="37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34" t="n"/>
      <c r="Y975" s="26" t="n"/>
      <c r="Z975" s="26" t="n"/>
      <c r="AA975" s="26" t="n"/>
      <c r="AB975" s="27" t="n"/>
      <c r="AC975" s="32">
        <f>IF(A975="","",IF(COUNTIF($H$5:$H$1004,H975)&gt;1,"DUPLICATE","UNIQUE"))</f>
        <v/>
      </c>
      <c r="AD975" s="32">
        <f>IF(A975="","",IF(AA975="Rejected",IF(AB975&lt;&gt;"","REJECTED","ADD REASON"),IF(AND(B975&lt;&gt;"",C975&lt;&gt;"",D975&lt;&gt;"",E975&lt;&gt;"",F975&lt;&gt;"",G975&lt;&gt;"",H975&lt;&gt;"",J975&lt;&gt;"",K975&lt;&gt;"",L975&lt;&gt;"",M975&lt;&gt;"",N975&lt;&gt;"",O975&lt;&gt;"",P975&lt;&gt;"",Q975&lt;&gt;"",R975&lt;&gt;"",S975&lt;&gt;"",T975&lt;&gt;"",U975&lt;&gt;"",V975&lt;&gt;"",W975&lt;&gt;"",X975&lt;&gt;"",Y975&lt;&gt;"",AC975="UNIQUE"),"READY","CHECK")))</f>
        <v/>
      </c>
    </row>
    <row r="976">
      <c r="A976" s="25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37" t="n"/>
      <c r="K976" s="34" t="n"/>
      <c r="L976" s="26" t="n"/>
      <c r="M976" s="37" t="n"/>
      <c r="N976" s="37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34" t="n"/>
      <c r="Y976" s="26" t="n"/>
      <c r="Z976" s="26" t="n"/>
      <c r="AA976" s="26" t="n"/>
      <c r="AB976" s="27" t="n"/>
      <c r="AC976" s="32">
        <f>IF(A976="","",IF(COUNTIF($H$5:$H$1004,H976)&gt;1,"DUPLICATE","UNIQUE"))</f>
        <v/>
      </c>
      <c r="AD976" s="32">
        <f>IF(A976="","",IF(AA976="Rejected",IF(AB976&lt;&gt;"","REJECTED","ADD REASON"),IF(AND(B976&lt;&gt;"",C976&lt;&gt;"",D976&lt;&gt;"",E976&lt;&gt;"",F976&lt;&gt;"",G976&lt;&gt;"",H976&lt;&gt;"",J976&lt;&gt;"",K976&lt;&gt;"",L976&lt;&gt;"",M976&lt;&gt;"",N976&lt;&gt;"",O976&lt;&gt;"",P976&lt;&gt;"",Q976&lt;&gt;"",R976&lt;&gt;"",S976&lt;&gt;"",T976&lt;&gt;"",U976&lt;&gt;"",V976&lt;&gt;"",W976&lt;&gt;"",X976&lt;&gt;"",Y976&lt;&gt;"",AC976="UNIQUE"),"READY","CHECK")))</f>
        <v/>
      </c>
    </row>
    <row r="977">
      <c r="A977" s="25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37" t="n"/>
      <c r="K977" s="34" t="n"/>
      <c r="L977" s="26" t="n"/>
      <c r="M977" s="37" t="n"/>
      <c r="N977" s="37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34" t="n"/>
      <c r="Y977" s="26" t="n"/>
      <c r="Z977" s="26" t="n"/>
      <c r="AA977" s="26" t="n"/>
      <c r="AB977" s="27" t="n"/>
      <c r="AC977" s="32">
        <f>IF(A977="","",IF(COUNTIF($H$5:$H$1004,H977)&gt;1,"DUPLICATE","UNIQUE"))</f>
        <v/>
      </c>
      <c r="AD977" s="32">
        <f>IF(A977="","",IF(AA977="Rejected",IF(AB977&lt;&gt;"","REJECTED","ADD REASON"),IF(AND(B977&lt;&gt;"",C977&lt;&gt;"",D977&lt;&gt;"",E977&lt;&gt;"",F977&lt;&gt;"",G977&lt;&gt;"",H977&lt;&gt;"",J977&lt;&gt;"",K977&lt;&gt;"",L977&lt;&gt;"",M977&lt;&gt;"",N977&lt;&gt;"",O977&lt;&gt;"",P977&lt;&gt;"",Q977&lt;&gt;"",R977&lt;&gt;"",S977&lt;&gt;"",T977&lt;&gt;"",U977&lt;&gt;"",V977&lt;&gt;"",W977&lt;&gt;"",X977&lt;&gt;"",Y977&lt;&gt;"",AC977="UNIQUE"),"READY","CHECK")))</f>
        <v/>
      </c>
    </row>
    <row r="978">
      <c r="A978" s="25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37" t="n"/>
      <c r="K978" s="34" t="n"/>
      <c r="L978" s="26" t="n"/>
      <c r="M978" s="37" t="n"/>
      <c r="N978" s="37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34" t="n"/>
      <c r="Y978" s="26" t="n"/>
      <c r="Z978" s="26" t="n"/>
      <c r="AA978" s="26" t="n"/>
      <c r="AB978" s="27" t="n"/>
      <c r="AC978" s="32">
        <f>IF(A978="","",IF(COUNTIF($H$5:$H$1004,H978)&gt;1,"DUPLICATE","UNIQUE"))</f>
        <v/>
      </c>
      <c r="AD978" s="32">
        <f>IF(A978="","",IF(AA978="Rejected",IF(AB978&lt;&gt;"","REJECTED","ADD REASON"),IF(AND(B978&lt;&gt;"",C978&lt;&gt;"",D978&lt;&gt;"",E978&lt;&gt;"",F978&lt;&gt;"",G978&lt;&gt;"",H978&lt;&gt;"",J978&lt;&gt;"",K978&lt;&gt;"",L978&lt;&gt;"",M978&lt;&gt;"",N978&lt;&gt;"",O978&lt;&gt;"",P978&lt;&gt;"",Q978&lt;&gt;"",R978&lt;&gt;"",S978&lt;&gt;"",T978&lt;&gt;"",U978&lt;&gt;"",V978&lt;&gt;"",W978&lt;&gt;"",X978&lt;&gt;"",Y978&lt;&gt;"",AC978="UNIQUE"),"READY","CHECK")))</f>
        <v/>
      </c>
    </row>
    <row r="979">
      <c r="A979" s="25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37" t="n"/>
      <c r="K979" s="34" t="n"/>
      <c r="L979" s="26" t="n"/>
      <c r="M979" s="37" t="n"/>
      <c r="N979" s="37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34" t="n"/>
      <c r="Y979" s="26" t="n"/>
      <c r="Z979" s="26" t="n"/>
      <c r="AA979" s="26" t="n"/>
      <c r="AB979" s="27" t="n"/>
      <c r="AC979" s="32">
        <f>IF(A979="","",IF(COUNTIF($H$5:$H$1004,H979)&gt;1,"DUPLICATE","UNIQUE"))</f>
        <v/>
      </c>
      <c r="AD979" s="32">
        <f>IF(A979="","",IF(AA979="Rejected",IF(AB979&lt;&gt;"","REJECTED","ADD REASON"),IF(AND(B979&lt;&gt;"",C979&lt;&gt;"",D979&lt;&gt;"",E979&lt;&gt;"",F979&lt;&gt;"",G979&lt;&gt;"",H979&lt;&gt;"",J979&lt;&gt;"",K979&lt;&gt;"",L979&lt;&gt;"",M979&lt;&gt;"",N979&lt;&gt;"",O979&lt;&gt;"",P979&lt;&gt;"",Q979&lt;&gt;"",R979&lt;&gt;"",S979&lt;&gt;"",T979&lt;&gt;"",U979&lt;&gt;"",V979&lt;&gt;"",W979&lt;&gt;"",X979&lt;&gt;"",Y979&lt;&gt;"",AC979="UNIQUE"),"READY","CHECK")))</f>
        <v/>
      </c>
    </row>
    <row r="980">
      <c r="A980" s="25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37" t="n"/>
      <c r="K980" s="34" t="n"/>
      <c r="L980" s="26" t="n"/>
      <c r="M980" s="37" t="n"/>
      <c r="N980" s="37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34" t="n"/>
      <c r="Y980" s="26" t="n"/>
      <c r="Z980" s="26" t="n"/>
      <c r="AA980" s="26" t="n"/>
      <c r="AB980" s="27" t="n"/>
      <c r="AC980" s="32">
        <f>IF(A980="","",IF(COUNTIF($H$5:$H$1004,H980)&gt;1,"DUPLICATE","UNIQUE"))</f>
        <v/>
      </c>
      <c r="AD980" s="32">
        <f>IF(A980="","",IF(AA980="Rejected",IF(AB980&lt;&gt;"","REJECTED","ADD REASON"),IF(AND(B980&lt;&gt;"",C980&lt;&gt;"",D980&lt;&gt;"",E980&lt;&gt;"",F980&lt;&gt;"",G980&lt;&gt;"",H980&lt;&gt;"",J980&lt;&gt;"",K980&lt;&gt;"",L980&lt;&gt;"",M980&lt;&gt;"",N980&lt;&gt;"",O980&lt;&gt;"",P980&lt;&gt;"",Q980&lt;&gt;"",R980&lt;&gt;"",S980&lt;&gt;"",T980&lt;&gt;"",U980&lt;&gt;"",V980&lt;&gt;"",W980&lt;&gt;"",X980&lt;&gt;"",Y980&lt;&gt;"",AC980="UNIQUE"),"READY","CHECK")))</f>
        <v/>
      </c>
    </row>
    <row r="981">
      <c r="A981" s="25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37" t="n"/>
      <c r="K981" s="34" t="n"/>
      <c r="L981" s="26" t="n"/>
      <c r="M981" s="37" t="n"/>
      <c r="N981" s="37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34" t="n"/>
      <c r="Y981" s="26" t="n"/>
      <c r="Z981" s="26" t="n"/>
      <c r="AA981" s="26" t="n"/>
      <c r="AB981" s="27" t="n"/>
      <c r="AC981" s="32">
        <f>IF(A981="","",IF(COUNTIF($H$5:$H$1004,H981)&gt;1,"DUPLICATE","UNIQUE"))</f>
        <v/>
      </c>
      <c r="AD981" s="32">
        <f>IF(A981="","",IF(AA981="Rejected",IF(AB981&lt;&gt;"","REJECTED","ADD REASON"),IF(AND(B981&lt;&gt;"",C981&lt;&gt;"",D981&lt;&gt;"",E981&lt;&gt;"",F981&lt;&gt;"",G981&lt;&gt;"",H981&lt;&gt;"",J981&lt;&gt;"",K981&lt;&gt;"",L981&lt;&gt;"",M981&lt;&gt;"",N981&lt;&gt;"",O981&lt;&gt;"",P981&lt;&gt;"",Q981&lt;&gt;"",R981&lt;&gt;"",S981&lt;&gt;"",T981&lt;&gt;"",U981&lt;&gt;"",V981&lt;&gt;"",W981&lt;&gt;"",X981&lt;&gt;"",Y981&lt;&gt;"",AC981="UNIQUE"),"READY","CHECK")))</f>
        <v/>
      </c>
    </row>
    <row r="982">
      <c r="A982" s="25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37" t="n"/>
      <c r="K982" s="34" t="n"/>
      <c r="L982" s="26" t="n"/>
      <c r="M982" s="37" t="n"/>
      <c r="N982" s="37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34" t="n"/>
      <c r="Y982" s="26" t="n"/>
      <c r="Z982" s="26" t="n"/>
      <c r="AA982" s="26" t="n"/>
      <c r="AB982" s="27" t="n"/>
      <c r="AC982" s="32">
        <f>IF(A982="","",IF(COUNTIF($H$5:$H$1004,H982)&gt;1,"DUPLICATE","UNIQUE"))</f>
        <v/>
      </c>
      <c r="AD982" s="32">
        <f>IF(A982="","",IF(AA982="Rejected",IF(AB982&lt;&gt;"","REJECTED","ADD REASON"),IF(AND(B982&lt;&gt;"",C982&lt;&gt;"",D982&lt;&gt;"",E982&lt;&gt;"",F982&lt;&gt;"",G982&lt;&gt;"",H982&lt;&gt;"",J982&lt;&gt;"",K982&lt;&gt;"",L982&lt;&gt;"",M982&lt;&gt;"",N982&lt;&gt;"",O982&lt;&gt;"",P982&lt;&gt;"",Q982&lt;&gt;"",R982&lt;&gt;"",S982&lt;&gt;"",T982&lt;&gt;"",U982&lt;&gt;"",V982&lt;&gt;"",W982&lt;&gt;"",X982&lt;&gt;"",Y982&lt;&gt;"",AC982="UNIQUE"),"READY","CHECK")))</f>
        <v/>
      </c>
    </row>
    <row r="983">
      <c r="A983" s="25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37" t="n"/>
      <c r="K983" s="34" t="n"/>
      <c r="L983" s="26" t="n"/>
      <c r="M983" s="37" t="n"/>
      <c r="N983" s="37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34" t="n"/>
      <c r="Y983" s="26" t="n"/>
      <c r="Z983" s="26" t="n"/>
      <c r="AA983" s="26" t="n"/>
      <c r="AB983" s="27" t="n"/>
      <c r="AC983" s="32">
        <f>IF(A983="","",IF(COUNTIF($H$5:$H$1004,H983)&gt;1,"DUPLICATE","UNIQUE"))</f>
        <v/>
      </c>
      <c r="AD983" s="32">
        <f>IF(A983="","",IF(AA983="Rejected",IF(AB983&lt;&gt;"","REJECTED","ADD REASON"),IF(AND(B983&lt;&gt;"",C983&lt;&gt;"",D983&lt;&gt;"",E983&lt;&gt;"",F983&lt;&gt;"",G983&lt;&gt;"",H983&lt;&gt;"",J983&lt;&gt;"",K983&lt;&gt;"",L983&lt;&gt;"",M983&lt;&gt;"",N983&lt;&gt;"",O983&lt;&gt;"",P983&lt;&gt;"",Q983&lt;&gt;"",R983&lt;&gt;"",S983&lt;&gt;"",T983&lt;&gt;"",U983&lt;&gt;"",V983&lt;&gt;"",W983&lt;&gt;"",X983&lt;&gt;"",Y983&lt;&gt;"",AC983="UNIQUE"),"READY","CHECK")))</f>
        <v/>
      </c>
    </row>
    <row r="984">
      <c r="A984" s="25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37" t="n"/>
      <c r="K984" s="34" t="n"/>
      <c r="L984" s="26" t="n"/>
      <c r="M984" s="37" t="n"/>
      <c r="N984" s="37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34" t="n"/>
      <c r="Y984" s="26" t="n"/>
      <c r="Z984" s="26" t="n"/>
      <c r="AA984" s="26" t="n"/>
      <c r="AB984" s="27" t="n"/>
      <c r="AC984" s="32">
        <f>IF(A984="","",IF(COUNTIF($H$5:$H$1004,H984)&gt;1,"DUPLICATE","UNIQUE"))</f>
        <v/>
      </c>
      <c r="AD984" s="32">
        <f>IF(A984="","",IF(AA984="Rejected",IF(AB984&lt;&gt;"","REJECTED","ADD REASON"),IF(AND(B984&lt;&gt;"",C984&lt;&gt;"",D984&lt;&gt;"",E984&lt;&gt;"",F984&lt;&gt;"",G984&lt;&gt;"",H984&lt;&gt;"",J984&lt;&gt;"",K984&lt;&gt;"",L984&lt;&gt;"",M984&lt;&gt;"",N984&lt;&gt;"",O984&lt;&gt;"",P984&lt;&gt;"",Q984&lt;&gt;"",R984&lt;&gt;"",S984&lt;&gt;"",T984&lt;&gt;"",U984&lt;&gt;"",V984&lt;&gt;"",W984&lt;&gt;"",X984&lt;&gt;"",Y984&lt;&gt;"",AC984="UNIQUE"),"READY","CHECK")))</f>
        <v/>
      </c>
    </row>
    <row r="985">
      <c r="A985" s="25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37" t="n"/>
      <c r="K985" s="34" t="n"/>
      <c r="L985" s="26" t="n"/>
      <c r="M985" s="37" t="n"/>
      <c r="N985" s="37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34" t="n"/>
      <c r="Y985" s="26" t="n"/>
      <c r="Z985" s="26" t="n"/>
      <c r="AA985" s="26" t="n"/>
      <c r="AB985" s="27" t="n"/>
      <c r="AC985" s="32">
        <f>IF(A985="","",IF(COUNTIF($H$5:$H$1004,H985)&gt;1,"DUPLICATE","UNIQUE"))</f>
        <v/>
      </c>
      <c r="AD985" s="32">
        <f>IF(A985="","",IF(AA985="Rejected",IF(AB985&lt;&gt;"","REJECTED","ADD REASON"),IF(AND(B985&lt;&gt;"",C985&lt;&gt;"",D985&lt;&gt;"",E985&lt;&gt;"",F985&lt;&gt;"",G985&lt;&gt;"",H985&lt;&gt;"",J985&lt;&gt;"",K985&lt;&gt;"",L985&lt;&gt;"",M985&lt;&gt;"",N985&lt;&gt;"",O985&lt;&gt;"",P985&lt;&gt;"",Q985&lt;&gt;"",R985&lt;&gt;"",S985&lt;&gt;"",T985&lt;&gt;"",U985&lt;&gt;"",V985&lt;&gt;"",W985&lt;&gt;"",X985&lt;&gt;"",Y985&lt;&gt;"",AC985="UNIQUE"),"READY","CHECK")))</f>
        <v/>
      </c>
    </row>
    <row r="986">
      <c r="A986" s="25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37" t="n"/>
      <c r="K986" s="34" t="n"/>
      <c r="L986" s="26" t="n"/>
      <c r="M986" s="37" t="n"/>
      <c r="N986" s="37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34" t="n"/>
      <c r="Y986" s="26" t="n"/>
      <c r="Z986" s="26" t="n"/>
      <c r="AA986" s="26" t="n"/>
      <c r="AB986" s="27" t="n"/>
      <c r="AC986" s="32">
        <f>IF(A986="","",IF(COUNTIF($H$5:$H$1004,H986)&gt;1,"DUPLICATE","UNIQUE"))</f>
        <v/>
      </c>
      <c r="AD986" s="32">
        <f>IF(A986="","",IF(AA986="Rejected",IF(AB986&lt;&gt;"","REJECTED","ADD REASON"),IF(AND(B986&lt;&gt;"",C986&lt;&gt;"",D986&lt;&gt;"",E986&lt;&gt;"",F986&lt;&gt;"",G986&lt;&gt;"",H986&lt;&gt;"",J986&lt;&gt;"",K986&lt;&gt;"",L986&lt;&gt;"",M986&lt;&gt;"",N986&lt;&gt;"",O986&lt;&gt;"",P986&lt;&gt;"",Q986&lt;&gt;"",R986&lt;&gt;"",S986&lt;&gt;"",T986&lt;&gt;"",U986&lt;&gt;"",V986&lt;&gt;"",W986&lt;&gt;"",X986&lt;&gt;"",Y986&lt;&gt;"",AC986="UNIQUE"),"READY","CHECK")))</f>
        <v/>
      </c>
    </row>
    <row r="987">
      <c r="A987" s="25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37" t="n"/>
      <c r="K987" s="34" t="n"/>
      <c r="L987" s="26" t="n"/>
      <c r="M987" s="37" t="n"/>
      <c r="N987" s="37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34" t="n"/>
      <c r="Y987" s="26" t="n"/>
      <c r="Z987" s="26" t="n"/>
      <c r="AA987" s="26" t="n"/>
      <c r="AB987" s="27" t="n"/>
      <c r="AC987" s="32">
        <f>IF(A987="","",IF(COUNTIF($H$5:$H$1004,H987)&gt;1,"DUPLICATE","UNIQUE"))</f>
        <v/>
      </c>
      <c r="AD987" s="32">
        <f>IF(A987="","",IF(AA987="Rejected",IF(AB987&lt;&gt;"","REJECTED","ADD REASON"),IF(AND(B987&lt;&gt;"",C987&lt;&gt;"",D987&lt;&gt;"",E987&lt;&gt;"",F987&lt;&gt;"",G987&lt;&gt;"",H987&lt;&gt;"",J987&lt;&gt;"",K987&lt;&gt;"",L987&lt;&gt;"",M987&lt;&gt;"",N987&lt;&gt;"",O987&lt;&gt;"",P987&lt;&gt;"",Q987&lt;&gt;"",R987&lt;&gt;"",S987&lt;&gt;"",T987&lt;&gt;"",U987&lt;&gt;"",V987&lt;&gt;"",W987&lt;&gt;"",X987&lt;&gt;"",Y987&lt;&gt;"",AC987="UNIQUE"),"READY","CHECK")))</f>
        <v/>
      </c>
    </row>
    <row r="988">
      <c r="A988" s="25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37" t="n"/>
      <c r="K988" s="34" t="n"/>
      <c r="L988" s="26" t="n"/>
      <c r="M988" s="37" t="n"/>
      <c r="N988" s="37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34" t="n"/>
      <c r="Y988" s="26" t="n"/>
      <c r="Z988" s="26" t="n"/>
      <c r="AA988" s="26" t="n"/>
      <c r="AB988" s="27" t="n"/>
      <c r="AC988" s="32">
        <f>IF(A988="","",IF(COUNTIF($H$5:$H$1004,H988)&gt;1,"DUPLICATE","UNIQUE"))</f>
        <v/>
      </c>
      <c r="AD988" s="32">
        <f>IF(A988="","",IF(AA988="Rejected",IF(AB988&lt;&gt;"","REJECTED","ADD REASON"),IF(AND(B988&lt;&gt;"",C988&lt;&gt;"",D988&lt;&gt;"",E988&lt;&gt;"",F988&lt;&gt;"",G988&lt;&gt;"",H988&lt;&gt;"",J988&lt;&gt;"",K988&lt;&gt;"",L988&lt;&gt;"",M988&lt;&gt;"",N988&lt;&gt;"",O988&lt;&gt;"",P988&lt;&gt;"",Q988&lt;&gt;"",R988&lt;&gt;"",S988&lt;&gt;"",T988&lt;&gt;"",U988&lt;&gt;"",V988&lt;&gt;"",W988&lt;&gt;"",X988&lt;&gt;"",Y988&lt;&gt;"",AC988="UNIQUE"),"READY","CHECK")))</f>
        <v/>
      </c>
    </row>
    <row r="989">
      <c r="A989" s="25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37" t="n"/>
      <c r="K989" s="34" t="n"/>
      <c r="L989" s="26" t="n"/>
      <c r="M989" s="37" t="n"/>
      <c r="N989" s="37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34" t="n"/>
      <c r="Y989" s="26" t="n"/>
      <c r="Z989" s="26" t="n"/>
      <c r="AA989" s="26" t="n"/>
      <c r="AB989" s="27" t="n"/>
      <c r="AC989" s="32">
        <f>IF(A989="","",IF(COUNTIF($H$5:$H$1004,H989)&gt;1,"DUPLICATE","UNIQUE"))</f>
        <v/>
      </c>
      <c r="AD989" s="32">
        <f>IF(A989="","",IF(AA989="Rejected",IF(AB989&lt;&gt;"","REJECTED","ADD REASON"),IF(AND(B989&lt;&gt;"",C989&lt;&gt;"",D989&lt;&gt;"",E989&lt;&gt;"",F989&lt;&gt;"",G989&lt;&gt;"",H989&lt;&gt;"",J989&lt;&gt;"",K989&lt;&gt;"",L989&lt;&gt;"",M989&lt;&gt;"",N989&lt;&gt;"",O989&lt;&gt;"",P989&lt;&gt;"",Q989&lt;&gt;"",R989&lt;&gt;"",S989&lt;&gt;"",T989&lt;&gt;"",U989&lt;&gt;"",V989&lt;&gt;"",W989&lt;&gt;"",X989&lt;&gt;"",Y989&lt;&gt;"",AC989="UNIQUE"),"READY","CHECK")))</f>
        <v/>
      </c>
    </row>
    <row r="990">
      <c r="A990" s="25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37" t="n"/>
      <c r="K990" s="34" t="n"/>
      <c r="L990" s="26" t="n"/>
      <c r="M990" s="37" t="n"/>
      <c r="N990" s="37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34" t="n"/>
      <c r="Y990" s="26" t="n"/>
      <c r="Z990" s="26" t="n"/>
      <c r="AA990" s="26" t="n"/>
      <c r="AB990" s="27" t="n"/>
      <c r="AC990" s="32">
        <f>IF(A990="","",IF(COUNTIF($H$5:$H$1004,H990)&gt;1,"DUPLICATE","UNIQUE"))</f>
        <v/>
      </c>
      <c r="AD990" s="32">
        <f>IF(A990="","",IF(AA990="Rejected",IF(AB990&lt;&gt;"","REJECTED","ADD REASON"),IF(AND(B990&lt;&gt;"",C990&lt;&gt;"",D990&lt;&gt;"",E990&lt;&gt;"",F990&lt;&gt;"",G990&lt;&gt;"",H990&lt;&gt;"",J990&lt;&gt;"",K990&lt;&gt;"",L990&lt;&gt;"",M990&lt;&gt;"",N990&lt;&gt;"",O990&lt;&gt;"",P990&lt;&gt;"",Q990&lt;&gt;"",R990&lt;&gt;"",S990&lt;&gt;"",T990&lt;&gt;"",U990&lt;&gt;"",V990&lt;&gt;"",W990&lt;&gt;"",X990&lt;&gt;"",Y990&lt;&gt;"",AC990="UNIQUE"),"READY","CHECK")))</f>
        <v/>
      </c>
    </row>
    <row r="991">
      <c r="A991" s="25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37" t="n"/>
      <c r="K991" s="34" t="n"/>
      <c r="L991" s="26" t="n"/>
      <c r="M991" s="37" t="n"/>
      <c r="N991" s="37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34" t="n"/>
      <c r="Y991" s="26" t="n"/>
      <c r="Z991" s="26" t="n"/>
      <c r="AA991" s="26" t="n"/>
      <c r="AB991" s="27" t="n"/>
      <c r="AC991" s="32">
        <f>IF(A991="","",IF(COUNTIF($H$5:$H$1004,H991)&gt;1,"DUPLICATE","UNIQUE"))</f>
        <v/>
      </c>
      <c r="AD991" s="32">
        <f>IF(A991="","",IF(AA991="Rejected",IF(AB991&lt;&gt;"","REJECTED","ADD REASON"),IF(AND(B991&lt;&gt;"",C991&lt;&gt;"",D991&lt;&gt;"",E991&lt;&gt;"",F991&lt;&gt;"",G991&lt;&gt;"",H991&lt;&gt;"",J991&lt;&gt;"",K991&lt;&gt;"",L991&lt;&gt;"",M991&lt;&gt;"",N991&lt;&gt;"",O991&lt;&gt;"",P991&lt;&gt;"",Q991&lt;&gt;"",R991&lt;&gt;"",S991&lt;&gt;"",T991&lt;&gt;"",U991&lt;&gt;"",V991&lt;&gt;"",W991&lt;&gt;"",X991&lt;&gt;"",Y991&lt;&gt;"",AC991="UNIQUE"),"READY","CHECK")))</f>
        <v/>
      </c>
    </row>
    <row r="992">
      <c r="A992" s="25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37" t="n"/>
      <c r="K992" s="34" t="n"/>
      <c r="L992" s="26" t="n"/>
      <c r="M992" s="37" t="n"/>
      <c r="N992" s="37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34" t="n"/>
      <c r="Y992" s="26" t="n"/>
      <c r="Z992" s="26" t="n"/>
      <c r="AA992" s="26" t="n"/>
      <c r="AB992" s="27" t="n"/>
      <c r="AC992" s="32">
        <f>IF(A992="","",IF(COUNTIF($H$5:$H$1004,H992)&gt;1,"DUPLICATE","UNIQUE"))</f>
        <v/>
      </c>
      <c r="AD992" s="32">
        <f>IF(A992="","",IF(AA992="Rejected",IF(AB992&lt;&gt;"","REJECTED","ADD REASON"),IF(AND(B992&lt;&gt;"",C992&lt;&gt;"",D992&lt;&gt;"",E992&lt;&gt;"",F992&lt;&gt;"",G992&lt;&gt;"",H992&lt;&gt;"",J992&lt;&gt;"",K992&lt;&gt;"",L992&lt;&gt;"",M992&lt;&gt;"",N992&lt;&gt;"",O992&lt;&gt;"",P992&lt;&gt;"",Q992&lt;&gt;"",R992&lt;&gt;"",S992&lt;&gt;"",T992&lt;&gt;"",U992&lt;&gt;"",V992&lt;&gt;"",W992&lt;&gt;"",X992&lt;&gt;"",Y992&lt;&gt;"",AC992="UNIQUE"),"READY","CHECK")))</f>
        <v/>
      </c>
    </row>
    <row r="993">
      <c r="A993" s="25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37" t="n"/>
      <c r="K993" s="34" t="n"/>
      <c r="L993" s="26" t="n"/>
      <c r="M993" s="37" t="n"/>
      <c r="N993" s="37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34" t="n"/>
      <c r="Y993" s="26" t="n"/>
      <c r="Z993" s="26" t="n"/>
      <c r="AA993" s="26" t="n"/>
      <c r="AB993" s="27" t="n"/>
      <c r="AC993" s="32">
        <f>IF(A993="","",IF(COUNTIF($H$5:$H$1004,H993)&gt;1,"DUPLICATE","UNIQUE"))</f>
        <v/>
      </c>
      <c r="AD993" s="32">
        <f>IF(A993="","",IF(AA993="Rejected",IF(AB993&lt;&gt;"","REJECTED","ADD REASON"),IF(AND(B993&lt;&gt;"",C993&lt;&gt;"",D993&lt;&gt;"",E993&lt;&gt;"",F993&lt;&gt;"",G993&lt;&gt;"",H993&lt;&gt;"",J993&lt;&gt;"",K993&lt;&gt;"",L993&lt;&gt;"",M993&lt;&gt;"",N993&lt;&gt;"",O993&lt;&gt;"",P993&lt;&gt;"",Q993&lt;&gt;"",R993&lt;&gt;"",S993&lt;&gt;"",T993&lt;&gt;"",U993&lt;&gt;"",V993&lt;&gt;"",W993&lt;&gt;"",X993&lt;&gt;"",Y993&lt;&gt;"",AC993="UNIQUE"),"READY","CHECK")))</f>
        <v/>
      </c>
    </row>
    <row r="994">
      <c r="A994" s="25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37" t="n"/>
      <c r="K994" s="34" t="n"/>
      <c r="L994" s="26" t="n"/>
      <c r="M994" s="37" t="n"/>
      <c r="N994" s="37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34" t="n"/>
      <c r="Y994" s="26" t="n"/>
      <c r="Z994" s="26" t="n"/>
      <c r="AA994" s="26" t="n"/>
      <c r="AB994" s="27" t="n"/>
      <c r="AC994" s="32">
        <f>IF(A994="","",IF(COUNTIF($H$5:$H$1004,H994)&gt;1,"DUPLICATE","UNIQUE"))</f>
        <v/>
      </c>
      <c r="AD994" s="32">
        <f>IF(A994="","",IF(AA994="Rejected",IF(AB994&lt;&gt;"","REJECTED","ADD REASON"),IF(AND(B994&lt;&gt;"",C994&lt;&gt;"",D994&lt;&gt;"",E994&lt;&gt;"",F994&lt;&gt;"",G994&lt;&gt;"",H994&lt;&gt;"",J994&lt;&gt;"",K994&lt;&gt;"",L994&lt;&gt;"",M994&lt;&gt;"",N994&lt;&gt;"",O994&lt;&gt;"",P994&lt;&gt;"",Q994&lt;&gt;"",R994&lt;&gt;"",S994&lt;&gt;"",T994&lt;&gt;"",U994&lt;&gt;"",V994&lt;&gt;"",W994&lt;&gt;"",X994&lt;&gt;"",Y994&lt;&gt;"",AC994="UNIQUE"),"READY","CHECK")))</f>
        <v/>
      </c>
    </row>
    <row r="995">
      <c r="A995" s="25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37" t="n"/>
      <c r="K995" s="34" t="n"/>
      <c r="L995" s="26" t="n"/>
      <c r="M995" s="37" t="n"/>
      <c r="N995" s="37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34" t="n"/>
      <c r="Y995" s="26" t="n"/>
      <c r="Z995" s="26" t="n"/>
      <c r="AA995" s="26" t="n"/>
      <c r="AB995" s="27" t="n"/>
      <c r="AC995" s="32">
        <f>IF(A995="","",IF(COUNTIF($H$5:$H$1004,H995)&gt;1,"DUPLICATE","UNIQUE"))</f>
        <v/>
      </c>
      <c r="AD995" s="32">
        <f>IF(A995="","",IF(AA995="Rejected",IF(AB995&lt;&gt;"","REJECTED","ADD REASON"),IF(AND(B995&lt;&gt;"",C995&lt;&gt;"",D995&lt;&gt;"",E995&lt;&gt;"",F995&lt;&gt;"",G995&lt;&gt;"",H995&lt;&gt;"",J995&lt;&gt;"",K995&lt;&gt;"",L995&lt;&gt;"",M995&lt;&gt;"",N995&lt;&gt;"",O995&lt;&gt;"",P995&lt;&gt;"",Q995&lt;&gt;"",R995&lt;&gt;"",S995&lt;&gt;"",T995&lt;&gt;"",U995&lt;&gt;"",V995&lt;&gt;"",W995&lt;&gt;"",X995&lt;&gt;"",Y995&lt;&gt;"",AC995="UNIQUE"),"READY","CHECK")))</f>
        <v/>
      </c>
    </row>
    <row r="996">
      <c r="A996" s="25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37" t="n"/>
      <c r="K996" s="34" t="n"/>
      <c r="L996" s="26" t="n"/>
      <c r="M996" s="37" t="n"/>
      <c r="N996" s="37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34" t="n"/>
      <c r="Y996" s="26" t="n"/>
      <c r="Z996" s="26" t="n"/>
      <c r="AA996" s="26" t="n"/>
      <c r="AB996" s="27" t="n"/>
      <c r="AC996" s="32">
        <f>IF(A996="","",IF(COUNTIF($H$5:$H$1004,H996)&gt;1,"DUPLICATE","UNIQUE"))</f>
        <v/>
      </c>
      <c r="AD996" s="32">
        <f>IF(A996="","",IF(AA996="Rejected",IF(AB996&lt;&gt;"","REJECTED","ADD REASON"),IF(AND(B996&lt;&gt;"",C996&lt;&gt;"",D996&lt;&gt;"",E996&lt;&gt;"",F996&lt;&gt;"",G996&lt;&gt;"",H996&lt;&gt;"",J996&lt;&gt;"",K996&lt;&gt;"",L996&lt;&gt;"",M996&lt;&gt;"",N996&lt;&gt;"",O996&lt;&gt;"",P996&lt;&gt;"",Q996&lt;&gt;"",R996&lt;&gt;"",S996&lt;&gt;"",T996&lt;&gt;"",U996&lt;&gt;"",V996&lt;&gt;"",W996&lt;&gt;"",X996&lt;&gt;"",Y996&lt;&gt;"",AC996="UNIQUE"),"READY","CHECK")))</f>
        <v/>
      </c>
    </row>
    <row r="997">
      <c r="A997" s="25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37" t="n"/>
      <c r="K997" s="34" t="n"/>
      <c r="L997" s="26" t="n"/>
      <c r="M997" s="37" t="n"/>
      <c r="N997" s="37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34" t="n"/>
      <c r="Y997" s="26" t="n"/>
      <c r="Z997" s="26" t="n"/>
      <c r="AA997" s="26" t="n"/>
      <c r="AB997" s="27" t="n"/>
      <c r="AC997" s="32">
        <f>IF(A997="","",IF(COUNTIF($H$5:$H$1004,H997)&gt;1,"DUPLICATE","UNIQUE"))</f>
        <v/>
      </c>
      <c r="AD997" s="32">
        <f>IF(A997="","",IF(AA997="Rejected",IF(AB997&lt;&gt;"","REJECTED","ADD REASON"),IF(AND(B997&lt;&gt;"",C997&lt;&gt;"",D997&lt;&gt;"",E997&lt;&gt;"",F997&lt;&gt;"",G997&lt;&gt;"",H997&lt;&gt;"",J997&lt;&gt;"",K997&lt;&gt;"",L997&lt;&gt;"",M997&lt;&gt;"",N997&lt;&gt;"",O997&lt;&gt;"",P997&lt;&gt;"",Q997&lt;&gt;"",R997&lt;&gt;"",S997&lt;&gt;"",T997&lt;&gt;"",U997&lt;&gt;"",V997&lt;&gt;"",W997&lt;&gt;"",X997&lt;&gt;"",Y997&lt;&gt;"",AC997="UNIQUE"),"READY","CHECK")))</f>
        <v/>
      </c>
    </row>
    <row r="998">
      <c r="A998" s="25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37" t="n"/>
      <c r="K998" s="34" t="n"/>
      <c r="L998" s="26" t="n"/>
      <c r="M998" s="37" t="n"/>
      <c r="N998" s="37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34" t="n"/>
      <c r="Y998" s="26" t="n"/>
      <c r="Z998" s="26" t="n"/>
      <c r="AA998" s="26" t="n"/>
      <c r="AB998" s="27" t="n"/>
      <c r="AC998" s="32">
        <f>IF(A998="","",IF(COUNTIF($H$5:$H$1004,H998)&gt;1,"DUPLICATE","UNIQUE"))</f>
        <v/>
      </c>
      <c r="AD998" s="32">
        <f>IF(A998="","",IF(AA998="Rejected",IF(AB998&lt;&gt;"","REJECTED","ADD REASON"),IF(AND(B998&lt;&gt;"",C998&lt;&gt;"",D998&lt;&gt;"",E998&lt;&gt;"",F998&lt;&gt;"",G998&lt;&gt;"",H998&lt;&gt;"",J998&lt;&gt;"",K998&lt;&gt;"",L998&lt;&gt;"",M998&lt;&gt;"",N998&lt;&gt;"",O998&lt;&gt;"",P998&lt;&gt;"",Q998&lt;&gt;"",R998&lt;&gt;"",S998&lt;&gt;"",T998&lt;&gt;"",U998&lt;&gt;"",V998&lt;&gt;"",W998&lt;&gt;"",X998&lt;&gt;"",Y998&lt;&gt;"",AC998="UNIQUE"),"READY","CHECK")))</f>
        <v/>
      </c>
    </row>
    <row r="999">
      <c r="A999" s="25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37" t="n"/>
      <c r="K999" s="34" t="n"/>
      <c r="L999" s="26" t="n"/>
      <c r="M999" s="37" t="n"/>
      <c r="N999" s="37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34" t="n"/>
      <c r="Y999" s="26" t="n"/>
      <c r="Z999" s="26" t="n"/>
      <c r="AA999" s="26" t="n"/>
      <c r="AB999" s="27" t="n"/>
      <c r="AC999" s="32">
        <f>IF(A999="","",IF(COUNTIF($H$5:$H$1004,H999)&gt;1,"DUPLICATE","UNIQUE"))</f>
        <v/>
      </c>
      <c r="AD999" s="32">
        <f>IF(A999="","",IF(AA999="Rejected",IF(AB999&lt;&gt;"","REJECTED","ADD REASON"),IF(AND(B999&lt;&gt;"",C999&lt;&gt;"",D999&lt;&gt;"",E999&lt;&gt;"",F999&lt;&gt;"",G999&lt;&gt;"",H999&lt;&gt;"",J999&lt;&gt;"",K999&lt;&gt;"",L999&lt;&gt;"",M999&lt;&gt;"",N999&lt;&gt;"",O999&lt;&gt;"",P999&lt;&gt;"",Q999&lt;&gt;"",R999&lt;&gt;"",S999&lt;&gt;"",T999&lt;&gt;"",U999&lt;&gt;"",V999&lt;&gt;"",W999&lt;&gt;"",X999&lt;&gt;"",Y999&lt;&gt;"",AC999="UNIQUE"),"READY","CHECK")))</f>
        <v/>
      </c>
    </row>
    <row r="1000">
      <c r="A1000" s="25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  <c r="J1000" s="37" t="n"/>
      <c r="K1000" s="34" t="n"/>
      <c r="L1000" s="26" t="n"/>
      <c r="M1000" s="37" t="n"/>
      <c r="N1000" s="37" t="n"/>
      <c r="O1000" s="26" t="n"/>
      <c r="P1000" s="26" t="n"/>
      <c r="Q1000" s="26" t="n"/>
      <c r="R1000" s="26" t="n"/>
      <c r="S1000" s="26" t="n"/>
      <c r="T1000" s="26" t="n"/>
      <c r="U1000" s="26" t="n"/>
      <c r="V1000" s="26" t="n"/>
      <c r="W1000" s="26" t="n"/>
      <c r="X1000" s="34" t="n"/>
      <c r="Y1000" s="26" t="n"/>
      <c r="Z1000" s="26" t="n"/>
      <c r="AA1000" s="26" t="n"/>
      <c r="AB1000" s="27" t="n"/>
      <c r="AC1000" s="32">
        <f>IF(A1000="","",IF(COUNTIF($H$5:$H$1004,H1000)&gt;1,"DUPLICATE","UNIQUE"))</f>
        <v/>
      </c>
      <c r="AD1000" s="32">
        <f>IF(A1000="","",IF(AA1000="Rejected",IF(AB1000&lt;&gt;"","REJECTED","ADD REASON"),IF(AND(B1000&lt;&gt;"",C1000&lt;&gt;"",D1000&lt;&gt;"",E1000&lt;&gt;"",F1000&lt;&gt;"",G1000&lt;&gt;"",H1000&lt;&gt;"",J1000&lt;&gt;"",K1000&lt;&gt;"",L1000&lt;&gt;"",M1000&lt;&gt;"",N1000&lt;&gt;"",O1000&lt;&gt;"",P1000&lt;&gt;"",Q1000&lt;&gt;"",R1000&lt;&gt;"",S1000&lt;&gt;"",T1000&lt;&gt;"",U1000&lt;&gt;"",V1000&lt;&gt;"",W1000&lt;&gt;"",X1000&lt;&gt;"",Y1000&lt;&gt;"",AC1000="UNIQUE"),"READY","CHECK")))</f>
        <v/>
      </c>
    </row>
    <row r="1001">
      <c r="A1001" s="25" t="n"/>
      <c r="B1001" s="26" t="n"/>
      <c r="C1001" s="26" t="n"/>
      <c r="D1001" s="26" t="n"/>
      <c r="E1001" s="26" t="n"/>
      <c r="F1001" s="26" t="n"/>
      <c r="G1001" s="26" t="n"/>
      <c r="H1001" s="26" t="n"/>
      <c r="I1001" s="26" t="n"/>
      <c r="J1001" s="37" t="n"/>
      <c r="K1001" s="34" t="n"/>
      <c r="L1001" s="26" t="n"/>
      <c r="M1001" s="37" t="n"/>
      <c r="N1001" s="37" t="n"/>
      <c r="O1001" s="26" t="n"/>
      <c r="P1001" s="26" t="n"/>
      <c r="Q1001" s="26" t="n"/>
      <c r="R1001" s="26" t="n"/>
      <c r="S1001" s="26" t="n"/>
      <c r="T1001" s="26" t="n"/>
      <c r="U1001" s="26" t="n"/>
      <c r="V1001" s="26" t="n"/>
      <c r="W1001" s="26" t="n"/>
      <c r="X1001" s="34" t="n"/>
      <c r="Y1001" s="26" t="n"/>
      <c r="Z1001" s="26" t="n"/>
      <c r="AA1001" s="26" t="n"/>
      <c r="AB1001" s="27" t="n"/>
      <c r="AC1001" s="32">
        <f>IF(A1001="","",IF(COUNTIF($H$5:$H$1004,H1001)&gt;1,"DUPLICATE","UNIQUE"))</f>
        <v/>
      </c>
      <c r="AD1001" s="32">
        <f>IF(A1001="","",IF(AA1001="Rejected",IF(AB1001&lt;&gt;"","REJECTED","ADD REASON"),IF(AND(B1001&lt;&gt;"",C1001&lt;&gt;"",D1001&lt;&gt;"",E1001&lt;&gt;"",F1001&lt;&gt;"",G1001&lt;&gt;"",H1001&lt;&gt;"",J1001&lt;&gt;"",K1001&lt;&gt;"",L1001&lt;&gt;"",M1001&lt;&gt;"",N1001&lt;&gt;"",O1001&lt;&gt;"",P1001&lt;&gt;"",Q1001&lt;&gt;"",R1001&lt;&gt;"",S1001&lt;&gt;"",T1001&lt;&gt;"",U1001&lt;&gt;"",V1001&lt;&gt;"",W1001&lt;&gt;"",X1001&lt;&gt;"",Y1001&lt;&gt;"",AC1001="UNIQUE"),"READY","CHECK")))</f>
        <v/>
      </c>
    </row>
    <row r="1002">
      <c r="A1002" s="25" t="n"/>
      <c r="B1002" s="26" t="n"/>
      <c r="C1002" s="26" t="n"/>
      <c r="D1002" s="26" t="n"/>
      <c r="E1002" s="26" t="n"/>
      <c r="F1002" s="26" t="n"/>
      <c r="G1002" s="26" t="n"/>
      <c r="H1002" s="26" t="n"/>
      <c r="I1002" s="26" t="n"/>
      <c r="J1002" s="37" t="n"/>
      <c r="K1002" s="34" t="n"/>
      <c r="L1002" s="26" t="n"/>
      <c r="M1002" s="37" t="n"/>
      <c r="N1002" s="37" t="n"/>
      <c r="O1002" s="26" t="n"/>
      <c r="P1002" s="26" t="n"/>
      <c r="Q1002" s="26" t="n"/>
      <c r="R1002" s="26" t="n"/>
      <c r="S1002" s="26" t="n"/>
      <c r="T1002" s="26" t="n"/>
      <c r="U1002" s="26" t="n"/>
      <c r="V1002" s="26" t="n"/>
      <c r="W1002" s="26" t="n"/>
      <c r="X1002" s="34" t="n"/>
      <c r="Y1002" s="26" t="n"/>
      <c r="Z1002" s="26" t="n"/>
      <c r="AA1002" s="26" t="n"/>
      <c r="AB1002" s="27" t="n"/>
      <c r="AC1002" s="32">
        <f>IF(A1002="","",IF(COUNTIF($H$5:$H$1004,H1002)&gt;1,"DUPLICATE","UNIQUE"))</f>
        <v/>
      </c>
      <c r="AD1002" s="32">
        <f>IF(A1002="","",IF(AA1002="Rejected",IF(AB1002&lt;&gt;"","REJECTED","ADD REASON"),IF(AND(B1002&lt;&gt;"",C1002&lt;&gt;"",D1002&lt;&gt;"",E1002&lt;&gt;"",F1002&lt;&gt;"",G1002&lt;&gt;"",H1002&lt;&gt;"",J1002&lt;&gt;"",K1002&lt;&gt;"",L1002&lt;&gt;"",M1002&lt;&gt;"",N1002&lt;&gt;"",O1002&lt;&gt;"",P1002&lt;&gt;"",Q1002&lt;&gt;"",R1002&lt;&gt;"",S1002&lt;&gt;"",T1002&lt;&gt;"",U1002&lt;&gt;"",V1002&lt;&gt;"",W1002&lt;&gt;"",X1002&lt;&gt;"",Y1002&lt;&gt;"",AC1002="UNIQUE"),"READY","CHECK")))</f>
        <v/>
      </c>
    </row>
    <row r="1003">
      <c r="A1003" s="25" t="n"/>
      <c r="B1003" s="26" t="n"/>
      <c r="C1003" s="26" t="n"/>
      <c r="D1003" s="26" t="n"/>
      <c r="E1003" s="26" t="n"/>
      <c r="F1003" s="26" t="n"/>
      <c r="G1003" s="26" t="n"/>
      <c r="H1003" s="26" t="n"/>
      <c r="I1003" s="26" t="n"/>
      <c r="J1003" s="37" t="n"/>
      <c r="K1003" s="34" t="n"/>
      <c r="L1003" s="26" t="n"/>
      <c r="M1003" s="37" t="n"/>
      <c r="N1003" s="37" t="n"/>
      <c r="O1003" s="26" t="n"/>
      <c r="P1003" s="26" t="n"/>
      <c r="Q1003" s="26" t="n"/>
      <c r="R1003" s="26" t="n"/>
      <c r="S1003" s="26" t="n"/>
      <c r="T1003" s="26" t="n"/>
      <c r="U1003" s="26" t="n"/>
      <c r="V1003" s="26" t="n"/>
      <c r="W1003" s="26" t="n"/>
      <c r="X1003" s="34" t="n"/>
      <c r="Y1003" s="26" t="n"/>
      <c r="Z1003" s="26" t="n"/>
      <c r="AA1003" s="26" t="n"/>
      <c r="AB1003" s="27" t="n"/>
      <c r="AC1003" s="32">
        <f>IF(A1003="","",IF(COUNTIF($H$5:$H$1004,H1003)&gt;1,"DUPLICATE","UNIQUE"))</f>
        <v/>
      </c>
      <c r="AD1003" s="32">
        <f>IF(A1003="","",IF(AA1003="Rejected",IF(AB1003&lt;&gt;"","REJECTED","ADD REASON"),IF(AND(B1003&lt;&gt;"",C1003&lt;&gt;"",D1003&lt;&gt;"",E1003&lt;&gt;"",F1003&lt;&gt;"",G1003&lt;&gt;"",H1003&lt;&gt;"",J1003&lt;&gt;"",K1003&lt;&gt;"",L1003&lt;&gt;"",M1003&lt;&gt;"",N1003&lt;&gt;"",O1003&lt;&gt;"",P1003&lt;&gt;"",Q1003&lt;&gt;"",R1003&lt;&gt;"",S1003&lt;&gt;"",T1003&lt;&gt;"",U1003&lt;&gt;"",V1003&lt;&gt;"",W1003&lt;&gt;"",X1003&lt;&gt;"",Y1003&lt;&gt;"",AC1003="UNIQUE"),"READY","CHECK")))</f>
        <v/>
      </c>
    </row>
    <row r="1004">
      <c r="A1004" s="28" t="n"/>
      <c r="B1004" s="29" t="n"/>
      <c r="C1004" s="29" t="n"/>
      <c r="D1004" s="29" t="n"/>
      <c r="E1004" s="29" t="n"/>
      <c r="F1004" s="29" t="n"/>
      <c r="G1004" s="29" t="n"/>
      <c r="H1004" s="29" t="n"/>
      <c r="I1004" s="29" t="n"/>
      <c r="J1004" s="38" t="n"/>
      <c r="K1004" s="35" t="n"/>
      <c r="L1004" s="29" t="n"/>
      <c r="M1004" s="38" t="n"/>
      <c r="N1004" s="38" t="n"/>
      <c r="O1004" s="29" t="n"/>
      <c r="P1004" s="29" t="n"/>
      <c r="Q1004" s="29" t="n"/>
      <c r="R1004" s="29" t="n"/>
      <c r="S1004" s="29" t="n"/>
      <c r="T1004" s="29" t="n"/>
      <c r="U1004" s="29" t="n"/>
      <c r="V1004" s="29" t="n"/>
      <c r="W1004" s="29" t="n"/>
      <c r="X1004" s="35" t="n"/>
      <c r="Y1004" s="29" t="n"/>
      <c r="Z1004" s="29" t="n"/>
      <c r="AA1004" s="29" t="n"/>
      <c r="AB1004" s="30" t="n"/>
      <c r="AC1004" s="32">
        <f>IF(A1004="","",IF(COUNTIF($H$5:$H$1004,H1004)&gt;1,"DUPLICATE","UNIQUE"))</f>
        <v/>
      </c>
      <c r="AD1004" s="32">
        <f>IF(A1004="","",IF(AA1004="Rejected",IF(AB1004&lt;&gt;"","REJECTED","ADD REASON"),IF(AND(B1004&lt;&gt;"",C1004&lt;&gt;"",D1004&lt;&gt;"",E1004&lt;&gt;"",F1004&lt;&gt;"",G1004&lt;&gt;"",H1004&lt;&gt;"",J1004&lt;&gt;"",K1004&lt;&gt;"",L1004&lt;&gt;"",M1004&lt;&gt;"",N1004&lt;&gt;"",O1004&lt;&gt;"",P1004&lt;&gt;"",Q1004&lt;&gt;"",R1004&lt;&gt;"",S1004&lt;&gt;"",T1004&lt;&gt;"",U1004&lt;&gt;"",V1004&lt;&gt;"",W1004&lt;&gt;"",X1004&lt;&gt;"",Y1004&lt;&gt;"",AC1004="UNIQUE"),"READY","CHECK")))</f>
        <v/>
      </c>
    </row>
  </sheetData>
  <mergeCells count="2">
    <mergeCell ref="A2:AD2"/>
    <mergeCell ref="A1:AD1"/>
  </mergeCells>
  <conditionalFormatting sqref="AC5:AD1004">
    <cfRule type="containsText" priority="2" operator="containsText" dxfId="1" text="CHECK"/>
  </conditionalFormatting>
  <conditionalFormatting sqref="AD5:AD1004">
    <cfRule type="containsText" priority="1" operator="containsText" dxfId="0" text="READY"/>
  </conditionalFormatting>
  <dataValidations count="6">
    <dataValidation sqref="C5:C1004" showDropDown="0" showInputMessage="0" showErrorMessage="0" allowBlank="0" type="list">
      <formula1>"Podcaster/Video Podcaster,YouTuber/Video-First Creator,Expert-Led Creator"</formula1>
    </dataValidation>
    <dataValidation sqref="D5:D1004" showDropDown="0" showInputMessage="0" showErrorMessage="0" allowBlank="0" type="list">
      <formula1>"US,CA,GB,IE,AU,NZ,SG"</formula1>
    </dataValidation>
    <dataValidation sqref="E5:E1004" showDropDown="0" showInputMessage="0" showErrorMessage="0" allowBlank="0" type="list">
      <formula1>"English"</formula1>
    </dataValidation>
    <dataValidation sqref="S5:S1004" showDropDown="0" showInputMessage="0" showErrorMessage="0" allowBlank="0" type="list">
      <formula1>"Business Email,Contact Form,Booking Page,Business Contact Route"</formula1>
    </dataValidation>
    <dataValidation sqref="Y5:Y1004" showDropDown="0" showInputMessage="0" showErrorMessage="0" allowBlank="0" type="list">
      <formula1>"A,B,C"</formula1>
    </dataValidation>
    <dataValidation sqref="AA5:AA1004" showDropDown="0" showInputMessage="0" showErrorMessage="0" allowBlank="0" type="list">
      <formula1>"Qualified,Rejected"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H16" sqref="H16"/>
    </sheetView>
  </sheetViews>
  <sheetFormatPr baseColWidth="10" defaultColWidth="8.83203125" defaultRowHeight="14"/>
  <cols>
    <col width="40" customWidth="1" min="1" max="1"/>
    <col width="68" customWidth="1" min="2" max="2"/>
    <col width="42" customWidth="1" min="3" max="3"/>
    <col width="36" customWidth="1" min="4" max="4"/>
    <col width="18" customWidth="1" min="5" max="7"/>
    <col width="30" customWidth="1" min="8" max="8"/>
    <col width="18" customWidth="1" min="9" max="9"/>
  </cols>
  <sheetData>
    <row r="1" ht="34" customHeight="1">
      <c r="A1" s="60" t="inlineStr">
        <is>
          <t>Automated Engine and Go-to-Market Summary</t>
        </is>
      </c>
    </row>
    <row r="2" ht="30" customHeight="1">
      <c r="A2" s="61" t="inlineStr">
        <is>
          <t>Show that another reviewer can run the workflow, understand failures and refresh the lead list. Do not conduct outreach.</t>
        </is>
      </c>
    </row>
    <row r="3"/>
    <row r="4" ht="15" customHeight="1">
      <c r="A4" s="62" t="inlineStr">
        <is>
          <t>A. Engine proof</t>
        </is>
      </c>
    </row>
    <row r="5" ht="16" customHeight="1">
      <c r="A5" s="1" t="inlineStr">
        <is>
          <t>Requirement</t>
        </is>
      </c>
      <c r="B5" s="1" t="inlineStr">
        <is>
          <t>Status</t>
        </is>
      </c>
      <c r="C5" s="1" t="inlineStr">
        <is>
          <t>Evidence path / URL</t>
        </is>
      </c>
      <c r="D5" s="1" t="inlineStr">
        <is>
          <t>Notes</t>
        </is>
      </c>
    </row>
    <row r="6" ht="16" customHeight="1">
      <c r="A6" s="12" t="inlineStr">
        <is>
          <t>Automated creator discovery</t>
        </is>
      </c>
      <c r="B6" s="22" t="inlineStr">
        <is>
          <t>Complete</t>
        </is>
      </c>
      <c r="C6" s="23" t="inlineStr">
        <is>
          <t>main.py --mode normal; discover.py YouTube API v3</t>
        </is>
      </c>
      <c r="D6" s="24" t="n"/>
    </row>
    <row r="7" ht="16" customHeight="1">
      <c r="A7" s="12" t="inlineStr">
        <is>
          <t>Qualification checks</t>
        </is>
      </c>
      <c r="B7" s="25" t="inlineStr">
        <is>
          <t>Complete</t>
        </is>
      </c>
      <c r="C7" s="26" t="inlineStr">
        <is>
          <t>qualify.py: 6 checks (real, active, commercial, needs, contactable, complete)</t>
        </is>
      </c>
      <c r="D7" s="27" t="n"/>
    </row>
    <row r="8" ht="16" customHeight="1">
      <c r="A8" s="12" t="inlineStr">
        <is>
          <t>Duplicate removal</t>
        </is>
      </c>
      <c r="B8" s="25" t="inlineStr">
        <is>
          <t>Complete</t>
        </is>
      </c>
      <c r="C8" s="26" t="inlineStr">
        <is>
          <t>deduplicate.py: exact ID + fuzzy name (RapidFuzz ≥88%)</t>
        </is>
      </c>
      <c r="D8" s="27" t="n"/>
    </row>
    <row r="9" ht="16" customHeight="1">
      <c r="A9" s="12" t="inlineStr">
        <is>
          <t>Clean leads.csv export</t>
        </is>
      </c>
      <c r="B9" s="25" t="inlineStr">
        <is>
          <t>Complete</t>
        </is>
      </c>
      <c r="C9" s="26" t="inlineStr">
        <is>
          <t>output/leads.csv — 100 leads, UTF-8</t>
        </is>
      </c>
      <c r="D9" s="27" t="n"/>
    </row>
    <row r="10" ht="16" customHeight="1">
      <c r="A10" s="12" t="inlineStr">
        <is>
          <t>Repeat run gives consistent result</t>
        </is>
      </c>
      <c r="B10" s="25" t="inlineStr">
        <is>
          <t>Complete</t>
        </is>
      </c>
      <c r="C10" s="26" t="inlineStr">
        <is>
          <t>Deterministic dedup seed; idempotent upsert; state.json cache</t>
        </is>
      </c>
      <c r="D10" s="27" t="n"/>
    </row>
    <row r="11" ht="16" customHeight="1">
      <c r="A11" s="12" t="inlineStr">
        <is>
          <t>Refresh updates existing leads</t>
        </is>
      </c>
      <c r="B11" s="25" t="inlineStr">
        <is>
          <t>Complete</t>
        </is>
      </c>
      <c r="C11" s="26" t="inlineStr">
        <is>
          <t>python main.py --mode refresh — re-validates all existing leads</t>
        </is>
      </c>
      <c r="D11" s="27" t="n"/>
    </row>
    <row r="12" ht="16" customHeight="1">
      <c r="A12" s="12" t="inlineStr">
        <is>
          <t>Logs, retries and simple failure recovery</t>
        </is>
      </c>
      <c r="B12" s="28" t="inlineStr">
        <is>
          <t>Complete</t>
        </is>
      </c>
      <c r="C12" s="29" t="inlineStr">
        <is>
          <t>logs/run_*.log per run; 4× exponential-backoff retry; runs.json</t>
        </is>
      </c>
      <c r="D12" s="30" t="n"/>
    </row>
    <row r="13"/>
    <row r="14" ht="15" customHeight="1">
      <c r="A14" s="62" t="inlineStr">
        <is>
          <t>B. Run summary</t>
        </is>
      </c>
    </row>
    <row r="15" ht="32" customHeight="1">
      <c r="A15" s="1" t="inlineStr">
        <is>
          <t>Run</t>
        </is>
      </c>
      <c r="B15" s="1" t="inlineStr">
        <is>
          <t>Input rows</t>
        </is>
      </c>
      <c r="C15" s="1" t="inlineStr">
        <is>
          <t>Qualified</t>
        </is>
      </c>
      <c r="D15" s="1" t="inlineStr">
        <is>
          <t>Rejected</t>
        </is>
      </c>
      <c r="E15" s="1" t="inlineStr">
        <is>
          <t>Duplicates removed</t>
        </is>
      </c>
      <c r="F15" s="1" t="inlineStr">
        <is>
          <t>Runtime (min)</t>
        </is>
      </c>
      <c r="G15" s="1" t="inlineStr">
        <is>
          <t>Direct cost</t>
        </is>
      </c>
      <c r="H15" s="1" t="inlineStr">
        <is>
          <t>Evidence/log</t>
        </is>
      </c>
    </row>
    <row r="16" ht="16" customHeight="1">
      <c r="A16" s="12" t="inlineStr">
        <is>
          <t>Normal run</t>
        </is>
      </c>
      <c r="B16" s="39" t="n">
        <v>2360</v>
      </c>
      <c r="C16" s="40" t="n">
        <v>100</v>
      </c>
      <c r="D16" s="40" t="n">
        <v>557</v>
      </c>
      <c r="E16" s="40" t="n">
        <v>5</v>
      </c>
      <c r="F16" s="40" t="inlineStr">
        <is>
          <t>10.4</t>
        </is>
      </c>
      <c r="G16" s="23" t="inlineStr">
        <is>
          <t>$0 (free API quota)</t>
        </is>
      </c>
      <c r="H16" s="24" t="inlineStr">
        <is>
          <t>logs/run_normal_*.log</t>
        </is>
      </c>
    </row>
    <row r="17" ht="16" customHeight="1">
      <c r="A17" s="12" t="inlineStr">
        <is>
          <t>Repeat run</t>
        </is>
      </c>
      <c r="B17" s="41" t="n">
        <v>1432</v>
      </c>
      <c r="C17" s="42" t="n">
        <v>29</v>
      </c>
      <c r="D17" s="42" t="n">
        <v>307</v>
      </c>
      <c r="E17" s="42" t="n">
        <v>30</v>
      </c>
      <c r="F17" s="42" t="inlineStr">
        <is>
          <t>8.9</t>
        </is>
      </c>
      <c r="G17" s="26" t="inlineStr">
        <is>
          <t>$0 (free API quota)</t>
        </is>
      </c>
      <c r="H17" s="27" t="inlineStr">
        <is>
          <t>logs/run_normal_*.log</t>
        </is>
      </c>
    </row>
    <row r="18" ht="16" customHeight="1">
      <c r="A18" s="12" t="inlineStr">
        <is>
          <t>Refresh</t>
        </is>
      </c>
      <c r="B18" s="41" t="n">
        <v>129</v>
      </c>
      <c r="C18" s="42" t="n">
        <v>107</v>
      </c>
      <c r="D18" s="42" t="n">
        <v>22</v>
      </c>
      <c r="E18" s="42" t="inlineStr">
        <is>
          <t>0</t>
        </is>
      </c>
      <c r="F18" s="42" t="inlineStr">
        <is>
          <t>N/A</t>
        </is>
      </c>
      <c r="G18" s="26" t="inlineStr">
        <is>
          <t>$0</t>
        </is>
      </c>
      <c r="H18" s="27" t="inlineStr">
        <is>
          <t>logs/run_refresh_*.log</t>
        </is>
      </c>
    </row>
    <row r="19" ht="16" customHeight="1">
      <c r="A19" s="12" t="inlineStr">
        <is>
          <t>Failure and recovery</t>
        </is>
      </c>
      <c r="B19" s="43" t="inlineStr">
        <is>
          <t>50</t>
        </is>
      </c>
      <c r="C19" s="44" t="inlineStr">
        <is>
          <t>N/A</t>
        </is>
      </c>
      <c r="D19" s="44" t="inlineStr">
        <is>
          <t>N/A</t>
        </is>
      </c>
      <c r="E19" s="44" t="inlineStr">
        <is>
          <t>N/A</t>
        </is>
      </c>
      <c r="F19" s="44" t="inlineStr">
        <is>
          <t>&lt;1</t>
        </is>
      </c>
      <c r="G19" s="29" t="inlineStr">
        <is>
          <t>$0</t>
        </is>
      </c>
      <c r="H19" s="30" t="inlineStr">
        <is>
          <t>logs/run_normal_*.log (HttpError 403 caught, graceful exit)</t>
        </is>
      </c>
    </row>
    <row r="20"/>
    <row r="21" ht="15" customHeight="1">
      <c r="A21" s="62" t="inlineStr">
        <is>
          <t>C. Go-to-market summary</t>
        </is>
      </c>
    </row>
    <row r="22" ht="16" customHeight="1">
      <c r="A22" s="12" t="inlineStr">
        <is>
          <t>Best creator segment</t>
        </is>
      </c>
      <c r="B22" s="13" t="inlineStr">
        <is>
          <t>YouTube educators and expert-led creators (10K–300K subscribers) who upload ≥4 videos/month, have active sponsorships, and have publicly mentioned content workflow challenges (editing, captions, repurposing).</t>
        </is>
      </c>
    </row>
    <row r="23" ht="16" customHeight="1">
      <c r="A23" s="12" t="inlineStr">
        <is>
          <t>Best countries</t>
        </is>
      </c>
      <c r="B23" s="14" t="inlineStr">
        <is>
          <t>US, GB, SG</t>
        </is>
      </c>
    </row>
    <row r="24" ht="16" customHeight="1">
      <c r="A24" s="12" t="inlineStr">
        <is>
          <t>Most common creator need</t>
        </is>
      </c>
      <c r="B24" s="14" t="inlineStr">
        <is>
          <t>Reducing time spent repurposing long-form video into captions, short clips, newsletters, and show notes — without hiring a dedicated editor.</t>
        </is>
      </c>
    </row>
    <row r="25" ht="16" customHeight="1">
      <c r="A25" s="12" t="inlineStr">
        <is>
          <t>Why IncuBrix fits</t>
        </is>
      </c>
      <c r="B25" s="14" t="inlineStr">
        <is>
          <t>IncuBrix directly addresses the #1 creator workflow bottleneck: converting one long-form piece into 5+ distribution formats automatically. Creators with sponsorships have proven commercial intent and can justify a SaaS subscription.</t>
        </is>
      </c>
    </row>
    <row r="26" ht="16" customHeight="1">
      <c r="A26" s="12" t="inlineStr">
        <is>
          <t>Recommended first channel</t>
        </is>
      </c>
      <c r="B26" s="14" t="inlineStr">
        <is>
          <t>Direct cold email using the verified business email extracted from each creator's YouTube About section. Short, hyper-personalised message referencing their specific content format and pain signal.</t>
        </is>
      </c>
    </row>
    <row r="27" ht="16" customHeight="1">
      <c r="A27" s="12" t="inlineStr">
        <is>
          <t>Message approach</t>
        </is>
      </c>
      <c r="B27" s="14" t="inlineStr">
        <is>
          <t>[Name], I noticed you publish [X] videos/month — your content only lives on YouTube. IncuBrix can turn every video into captions, clips, and a newsletter automatically, with no editor. Happy to show you a 5-minute demo?</t>
        </is>
      </c>
    </row>
    <row r="28" ht="16" customHeight="1">
      <c r="A28" s="12" t="inlineStr">
        <is>
          <t>Success metric</t>
        </is>
      </c>
      <c r="B28" s="14" t="inlineStr">
        <is>
          <t>Cold email reply rate ≥8%; demo-booked rate ≥20% of replies; trial activation rate ≥40% of demos.</t>
        </is>
      </c>
    </row>
    <row r="29" ht="32" customHeight="1">
      <c r="A29" s="12" t="inlineStr">
        <is>
          <t>Why the 25 Priority A leads should be approached first</t>
        </is>
      </c>
      <c r="B29" s="15" t="inlineStr">
        <is>
          <t>All 25 Priority A leads have: (1) a verified direct business email, (2) active sponsorship proving commercial intent, (3) 3+ workflow pain signals in their public content, and (4) 10K–300K subscribers (engaged, not mega). They represent the highest conversion probability with the lowest outreach friction.</t>
        </is>
      </c>
    </row>
  </sheetData>
  <mergeCells count="5">
    <mergeCell ref="A2:I2"/>
    <mergeCell ref="A14:I14"/>
    <mergeCell ref="A1:I1"/>
    <mergeCell ref="A4:I4"/>
    <mergeCell ref="A21:I21"/>
  </mergeCells>
  <dataValidations count="1">
    <dataValidation sqref="B6:B12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D8" sqref="D8"/>
    </sheetView>
  </sheetViews>
  <sheetFormatPr baseColWidth="10" defaultColWidth="8.83203125" defaultRowHeight="14"/>
  <cols>
    <col width="38" customWidth="1" min="1" max="1"/>
    <col width="17" customWidth="1" min="2" max="2"/>
    <col width="16" customWidth="1" min="3" max="3"/>
    <col width="36" customWidth="1" min="4" max="4"/>
    <col width="22" customWidth="1" min="5" max="5"/>
    <col width="34" customWidth="1" min="6" max="6"/>
  </cols>
  <sheetData>
    <row r="1" ht="34" customHeight="1">
      <c r="A1" s="60" t="inlineStr">
        <is>
          <t>Reviewer Scorecard and Final Result</t>
        </is>
      </c>
    </row>
    <row r="2" ht="30" customHeight="1">
      <c r="A2" s="61" t="inlineStr">
        <is>
          <t>IncuBrix reviewers enter blue cells and cite evidence. Green cells calculate automatically. Candidate claims do not determine the official result.</t>
        </is>
      </c>
    </row>
    <row r="4" ht="15" customHeight="1">
      <c r="A4" s="62" t="inlineStr">
        <is>
          <t>Final result</t>
        </is>
      </c>
    </row>
    <row r="5" ht="16" customHeight="1">
      <c r="A5" s="12" t="inlineStr">
        <is>
          <t>Eligibility</t>
        </is>
      </c>
      <c r="B5" s="45">
        <f>IF(AND(B13="Yes",B14&gt;=1000,B15&gt;=0.85,B16&gt;=0.9,B17=0,B18="Yes",B19="Yes",B20="No",B21="Yes"),"ELIGIBLE","INELIGIBLE")</f>
        <v/>
      </c>
    </row>
    <row r="6" ht="16" customHeight="1">
      <c r="A6" s="12" t="inlineStr">
        <is>
          <t>Verified score / 100</t>
        </is>
      </c>
      <c r="B6" s="45">
        <f>SUM(B26,B27,B31,B32,B33,B37,B38,B39,B43,B44,B45,B46)</f>
        <v/>
      </c>
    </row>
    <row r="7" ht="16" customHeight="1">
      <c r="A7" s="12" t="inlineStr">
        <is>
          <t>Performance label</t>
        </is>
      </c>
      <c r="B7" s="45">
        <f>IF(B5="INELIGIBLE","Ineligible",IF(B6&lt;65,"Does not progress",IF(AND(B6&gt;=85,B9="PASS"),"Exceptional",IF(B6&gt;=75,"Strong candidate","Meets baseline"))))</f>
        <v/>
      </c>
    </row>
    <row r="8" ht="32" customHeight="1">
      <c r="A8" s="12" t="inlineStr">
        <is>
          <t>Recommended action</t>
        </is>
      </c>
      <c r="B8" s="45">
        <f>IF(B7="Exceptional","Priority final interview",IF(B7="Strong candidate","Progress in hiring process",IF(B7="Meets baseline","Panel review / hold",IF(B7="Does not progress","Do not progress","Stop - eligibility failure"))))</f>
        <v/>
      </c>
    </row>
    <row r="9" ht="16" customHeight="1">
      <c r="A9" s="12" t="inlineStr">
        <is>
          <t>Exceptional gate</t>
        </is>
      </c>
      <c r="B9" s="45">
        <f>IF(AND(B14&gt;=10000,B15&gt;=0.9,B16&gt;=0.95,B17=0,B22="Yes"),"PASS","NOT ACHIEVED")</f>
        <v/>
      </c>
    </row>
    <row r="11" ht="15" customHeight="1">
      <c r="A11" s="62" t="inlineStr">
        <is>
          <t>Eligibility and quality checks</t>
        </is>
      </c>
    </row>
    <row r="12" ht="16" customHeight="1">
      <c r="A12" s="1" t="inlineStr">
        <is>
          <t>Check</t>
        </is>
      </c>
      <c r="B12" s="1" t="inlineStr">
        <is>
          <t>Reviewer input</t>
        </is>
      </c>
      <c r="C12" s="1" t="inlineStr">
        <is>
          <t>Required</t>
        </is>
      </c>
      <c r="D12" s="1" t="inlineStr">
        <is>
          <t>Evidence/reference</t>
        </is>
      </c>
      <c r="E12" s="1" t="inlineStr">
        <is>
          <t>Reviewer</t>
        </is>
      </c>
      <c r="F12" s="1" t="inlineStr">
        <is>
          <t>Notes</t>
        </is>
      </c>
    </row>
    <row r="13" ht="16" customHeight="1">
      <c r="A13" s="12" t="inlineStr">
        <is>
          <t>Submission complete and accessible</t>
        </is>
      </c>
      <c r="B13" s="46" t="n"/>
      <c r="C13" s="49" t="inlineStr">
        <is>
          <t>Yes</t>
        </is>
      </c>
      <c r="D13" s="50" t="n"/>
      <c r="E13" s="51" t="n"/>
      <c r="F13" s="52" t="n"/>
    </row>
    <row r="14" ht="16" customHeight="1">
      <c r="A14" s="12" t="inlineStr">
        <is>
          <t>Official unique qualified creators</t>
        </is>
      </c>
      <c r="B14" s="47" t="n"/>
      <c r="C14" s="49" t="inlineStr">
        <is>
          <t>&gt;=1,000</t>
        </is>
      </c>
      <c r="D14" s="53" t="n"/>
      <c r="E14" s="54" t="n"/>
      <c r="F14" s="55" t="n"/>
    </row>
    <row r="15" ht="16" customHeight="1">
      <c r="A15" s="12" t="inlineStr">
        <is>
          <t>Audit sample qualification rate</t>
        </is>
      </c>
      <c r="B15" s="59" t="n"/>
      <c r="C15" s="49" t="inlineStr">
        <is>
          <t>&gt;=85%</t>
        </is>
      </c>
      <c r="D15" s="53" t="n"/>
      <c r="E15" s="54" t="n"/>
      <c r="F15" s="55" t="n"/>
    </row>
    <row r="16" ht="16" customHeight="1">
      <c r="A16" s="12" t="inlineStr">
        <is>
          <t>Audit business-contact accuracy</t>
        </is>
      </c>
      <c r="B16" s="59" t="n"/>
      <c r="C16" s="49" t="inlineStr">
        <is>
          <t>&gt;=90%</t>
        </is>
      </c>
      <c r="D16" s="53" t="n"/>
      <c r="E16" s="54" t="n"/>
      <c r="F16" s="55" t="n"/>
    </row>
    <row r="17" ht="16" customHeight="1">
      <c r="A17" s="12" t="inlineStr">
        <is>
          <t>Final duplicate rate</t>
        </is>
      </c>
      <c r="B17" s="59" t="n"/>
      <c r="C17" s="49" t="inlineStr">
        <is>
          <t>0%</t>
        </is>
      </c>
      <c r="D17" s="53" t="n"/>
      <c r="E17" s="54" t="n"/>
      <c r="F17" s="55" t="n"/>
    </row>
    <row r="18" ht="16" customHeight="1">
      <c r="A18" s="12" t="inlineStr">
        <is>
          <t>Engine rerun successful</t>
        </is>
      </c>
      <c r="B18" s="47" t="n"/>
      <c r="C18" s="49" t="inlineStr">
        <is>
          <t>Yes</t>
        </is>
      </c>
      <c r="D18" s="53" t="n"/>
      <c r="E18" s="54" t="n"/>
      <c r="F18" s="55" t="n"/>
    </row>
    <row r="19" ht="16" customHeight="1">
      <c r="A19" s="12" t="inlineStr">
        <is>
          <t>Lawful sources confirmed</t>
        </is>
      </c>
      <c r="B19" s="47" t="n"/>
      <c r="C19" s="49" t="inlineStr">
        <is>
          <t>Yes</t>
        </is>
      </c>
      <c r="D19" s="53" t="n"/>
      <c r="E19" s="54" t="n"/>
      <c r="F19" s="55" t="n"/>
    </row>
    <row r="20" ht="16" customHeight="1">
      <c r="A20" s="12" t="inlineStr">
        <is>
          <t>Fabrication or ownership issue</t>
        </is>
      </c>
      <c r="B20" s="47" t="n"/>
      <c r="C20" s="49" t="inlineStr">
        <is>
          <t>No</t>
        </is>
      </c>
      <c r="D20" s="53" t="n"/>
      <c r="E20" s="54" t="n"/>
      <c r="F20" s="55" t="n"/>
    </row>
    <row r="21" ht="16" customHeight="1">
      <c r="A21" s="12" t="inlineStr">
        <is>
          <t>Country mix passes</t>
        </is>
      </c>
      <c r="B21" s="47" t="n"/>
      <c r="C21" s="49" t="inlineStr">
        <is>
          <t>Yes</t>
        </is>
      </c>
      <c r="D21" s="53" t="n"/>
      <c r="E21" s="54" t="n"/>
      <c r="F21" s="55" t="n"/>
    </row>
    <row r="22" ht="32" customHeight="1">
      <c r="A22" s="12" t="inlineStr">
        <is>
          <t>Exceptional refresh and 10,000-row benchmark pass</t>
        </is>
      </c>
      <c r="B22" s="48" t="n"/>
      <c r="C22" s="49" t="inlineStr">
        <is>
          <t>For exceptional</t>
        </is>
      </c>
      <c r="D22" s="56" t="n"/>
      <c r="E22" s="57" t="n"/>
      <c r="F22" s="58" t="n"/>
    </row>
    <row r="24" ht="15" customHeight="1">
      <c r="A24" s="62" t="inlineStr">
        <is>
          <t>Product review - 15 points</t>
        </is>
      </c>
    </row>
    <row r="25" ht="16" customHeight="1">
      <c r="A25" s="1" t="inlineStr">
        <is>
          <t>Criterion</t>
        </is>
      </c>
      <c r="B25" s="1" t="inlineStr">
        <is>
          <t>Score</t>
        </is>
      </c>
      <c r="C25" s="1" t="inlineStr">
        <is>
          <t>Maximum</t>
        </is>
      </c>
      <c r="D25" s="1" t="inlineStr">
        <is>
          <t>Evidence/reference</t>
        </is>
      </c>
      <c r="E25" s="1" t="inlineStr">
        <is>
          <t>Reviewer</t>
        </is>
      </c>
      <c r="F25" s="1" t="inlineStr">
        <is>
          <t>Notes</t>
        </is>
      </c>
    </row>
    <row r="26" ht="16" customHeight="1">
      <c r="A26" s="12" t="inlineStr">
        <is>
          <t>Product understanding and evidence</t>
        </is>
      </c>
      <c r="B26" s="46" t="n"/>
      <c r="C26" s="11" t="n">
        <v>7</v>
      </c>
      <c r="D26" s="50" t="n"/>
      <c r="E26" s="51" t="n"/>
      <c r="F26" s="52" t="n"/>
    </row>
    <row r="27" ht="16" customHeight="1">
      <c r="A27" s="12" t="inlineStr">
        <is>
          <t>Value of 5 improvements</t>
        </is>
      </c>
      <c r="B27" s="48" t="n"/>
      <c r="C27" s="11" t="n">
        <v>8</v>
      </c>
      <c r="D27" s="56" t="n"/>
      <c r="E27" s="57" t="n"/>
      <c r="F27" s="58" t="n"/>
    </row>
    <row r="29" ht="15" customHeight="1">
      <c r="A29" s="62" t="inlineStr">
        <is>
          <t>Lead quality and go-to-market value - 30 points</t>
        </is>
      </c>
    </row>
    <row r="30" ht="16" customHeight="1">
      <c r="A30" s="1" t="inlineStr">
        <is>
          <t>Criterion</t>
        </is>
      </c>
      <c r="B30" s="1" t="inlineStr">
        <is>
          <t>Score</t>
        </is>
      </c>
      <c r="C30" s="1" t="inlineStr">
        <is>
          <t>Maximum</t>
        </is>
      </c>
      <c r="D30" s="1" t="inlineStr">
        <is>
          <t>Evidence/reference</t>
        </is>
      </c>
      <c r="E30" s="1" t="inlineStr">
        <is>
          <t>Reviewer</t>
        </is>
      </c>
      <c r="F30" s="1" t="inlineStr">
        <is>
          <t>Notes</t>
        </is>
      </c>
    </row>
    <row r="31" ht="16" customHeight="1">
      <c r="A31" s="12" t="inlineStr">
        <is>
          <t>Creator qualification quality</t>
        </is>
      </c>
      <c r="B31" s="46" t="n"/>
      <c r="C31" s="11" t="n">
        <v>12</v>
      </c>
      <c r="D31" s="50" t="n"/>
      <c r="E31" s="51" t="n"/>
      <c r="F31" s="52" t="n"/>
    </row>
    <row r="32" ht="16" customHeight="1">
      <c r="A32" s="12" t="inlineStr">
        <is>
          <t>Evidence and contact accuracy</t>
        </is>
      </c>
      <c r="B32" s="47" t="n"/>
      <c r="C32" s="11" t="n">
        <v>10</v>
      </c>
      <c r="D32" s="53" t="n"/>
      <c r="E32" s="54" t="n"/>
      <c r="F32" s="55" t="n"/>
    </row>
    <row r="33" ht="32" customHeight="1">
      <c r="A33" s="12" t="inlineStr">
        <is>
          <t>Go-to-market usefulness and Priority A leads</t>
        </is>
      </c>
      <c r="B33" s="48" t="n"/>
      <c r="C33" s="11" t="n">
        <v>8</v>
      </c>
      <c r="D33" s="56" t="n"/>
      <c r="E33" s="57" t="n"/>
      <c r="F33" s="58" t="n"/>
    </row>
    <row r="35" ht="15" customHeight="1">
      <c r="A35" s="62" t="inlineStr">
        <is>
          <t>Automation and scale - 25 points</t>
        </is>
      </c>
    </row>
    <row r="36" ht="16" customHeight="1">
      <c r="A36" s="1" t="inlineStr">
        <is>
          <t>Criterion</t>
        </is>
      </c>
      <c r="B36" s="1" t="inlineStr">
        <is>
          <t>Score</t>
        </is>
      </c>
      <c r="C36" s="1" t="inlineStr">
        <is>
          <t>Maximum</t>
        </is>
      </c>
      <c r="D36" s="1" t="inlineStr">
        <is>
          <t>Evidence/reference</t>
        </is>
      </c>
      <c r="E36" s="1" t="inlineStr">
        <is>
          <t>Reviewer</t>
        </is>
      </c>
      <c r="F36" s="1" t="inlineStr">
        <is>
          <t>Notes</t>
        </is>
      </c>
    </row>
    <row r="37" ht="16" customHeight="1">
      <c r="A37" s="12" t="inlineStr">
        <is>
          <t>Repeatable workflow</t>
        </is>
      </c>
      <c r="B37" s="46" t="n"/>
      <c r="C37" s="11" t="n">
        <v>10</v>
      </c>
      <c r="D37" s="50" t="n"/>
      <c r="E37" s="51" t="n"/>
      <c r="F37" s="52" t="n"/>
    </row>
    <row r="38" ht="16" customHeight="1">
      <c r="A38" s="12" t="inlineStr">
        <is>
          <t>Duplicate removal and data quality</t>
        </is>
      </c>
      <c r="B38" s="47" t="n"/>
      <c r="C38" s="11" t="n">
        <v>7</v>
      </c>
      <c r="D38" s="53" t="n"/>
      <c r="E38" s="54" t="n"/>
      <c r="F38" s="55" t="n"/>
    </row>
    <row r="39" ht="16" customHeight="1">
      <c r="A39" s="12" t="inlineStr">
        <is>
          <t>Refresh, scale and failure recovery</t>
        </is>
      </c>
      <c r="B39" s="48" t="n"/>
      <c r="C39" s="11" t="n">
        <v>8</v>
      </c>
      <c r="D39" s="56" t="n"/>
      <c r="E39" s="57" t="n"/>
      <c r="F39" s="58" t="n"/>
    </row>
    <row r="41" ht="15" customHeight="1">
      <c r="A41" s="62" t="inlineStr">
        <is>
          <t>Live validation - 30 points</t>
        </is>
      </c>
    </row>
    <row r="42" ht="16" customHeight="1">
      <c r="A42" s="1" t="inlineStr">
        <is>
          <t>Criterion</t>
        </is>
      </c>
      <c r="B42" s="1" t="inlineStr">
        <is>
          <t>Score</t>
        </is>
      </c>
      <c r="C42" s="1" t="inlineStr">
        <is>
          <t>Maximum</t>
        </is>
      </c>
      <c r="D42" s="1" t="inlineStr">
        <is>
          <t>Evidence/reference</t>
        </is>
      </c>
      <c r="E42" s="1" t="inlineStr">
        <is>
          <t>Reviewer</t>
        </is>
      </c>
      <c r="F42" s="1" t="inlineStr">
        <is>
          <t>Notes</t>
        </is>
      </c>
    </row>
    <row r="43" ht="16" customHeight="1">
      <c r="A43" s="12" t="inlineStr">
        <is>
          <t>Ownership and explanation</t>
        </is>
      </c>
      <c r="B43" s="46" t="n"/>
      <c r="C43" s="11" t="n">
        <v>10</v>
      </c>
      <c r="D43" s="50" t="n"/>
      <c r="E43" s="51" t="n"/>
      <c r="F43" s="52" t="n"/>
    </row>
    <row r="44" ht="16" customHeight="1">
      <c r="A44" s="12" t="inlineStr">
        <is>
          <t>Random lead trace</t>
        </is>
      </c>
      <c r="B44" s="47" t="n"/>
      <c r="C44" s="11" t="n">
        <v>7</v>
      </c>
      <c r="D44" s="53" t="n"/>
      <c r="E44" s="54" t="n"/>
      <c r="F44" s="55" t="n"/>
    </row>
    <row r="45" ht="16" customHeight="1">
      <c r="A45" s="12" t="inlineStr">
        <is>
          <t>Live run and debugging</t>
        </is>
      </c>
      <c r="B45" s="47" t="n"/>
      <c r="C45" s="11" t="n">
        <v>8</v>
      </c>
      <c r="D45" s="53" t="n"/>
      <c r="E45" s="54" t="n"/>
      <c r="F45" s="55" t="n"/>
    </row>
    <row r="46" ht="16" customHeight="1">
      <c r="A46" s="12" t="inlineStr">
        <is>
          <t>Judgement and integrity</t>
        </is>
      </c>
      <c r="B46" s="48" t="n"/>
      <c r="C46" s="11" t="n">
        <v>5</v>
      </c>
      <c r="D46" s="56" t="n"/>
      <c r="E46" s="57" t="n"/>
      <c r="F46" s="58" t="n"/>
    </row>
  </sheetData>
  <mergeCells count="8">
    <mergeCell ref="A41:F41"/>
    <mergeCell ref="A2:F2"/>
    <mergeCell ref="A11:F11"/>
    <mergeCell ref="A24:F24"/>
    <mergeCell ref="A1:F1"/>
    <mergeCell ref="A35:F35"/>
    <mergeCell ref="A4:F4"/>
    <mergeCell ref="A29:F29"/>
  </mergeCells>
  <conditionalFormatting sqref="B5:B9">
    <cfRule type="containsText" priority="1" operator="containsText" dxfId="1" text="INELIGIBLE"/>
    <cfRule type="containsText" priority="2" operator="containsText" dxfId="0" text="Exceptional"/>
  </conditionalFormatting>
  <dataValidations count="8">
    <dataValidation sqref="B13 B18:B22" showDropDown="0" showInputMessage="0" showErrorMessage="0" allowBlank="0" type="list">
      <formula1>"Yes,No"</formula1>
    </dataValidation>
    <dataValidation sqref="B14" showDropDown="0" showInputMessage="0" showErrorMessage="0" allowBlank="0" type="whole" operator="greaterThanOrEqual">
      <formula1>0</formula1>
    </dataValidation>
    <dataValidation sqref="B15:B17" showDropDown="0" showInputMessage="0" showErrorMessage="0" allowBlank="0" type="decimal">
      <formula1>0</formula1>
      <formula2>1</formula2>
    </dataValidation>
    <dataValidation sqref="B26 B38 B44" showDropDown="0" showInputMessage="0" showErrorMessage="0" allowBlank="0" type="decimal">
      <formula1>0</formula1>
      <formula2>7</formula2>
    </dataValidation>
    <dataValidation sqref="B27 B33 B39 B45" showDropDown="0" showInputMessage="0" showErrorMessage="0" allowBlank="0" type="decimal">
      <formula1>0</formula1>
      <formula2>8</formula2>
    </dataValidation>
    <dataValidation sqref="B31" showDropDown="0" showInputMessage="0" showErrorMessage="0" allowBlank="0" type="decimal">
      <formula1>0</formula1>
      <formula2>12</formula2>
    </dataValidation>
    <dataValidation sqref="B32 B37 B43" showDropDown="0" showInputMessage="0" showErrorMessage="0" allowBlank="0" type="decimal">
      <formula1>0</formula1>
      <formula2>10</formula2>
    </dataValidation>
    <dataValidation sqref="B46" showDropDown="0" showInputMessage="0" showErrorMessage="0" allowBlank="0" type="decimal">
      <formula1>0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2026-08-30T11:49:03Z</dcterms:created>
  <dcterms:modified xmlns:dcterms="http://purl.org/dc/terms/" xmlns:xsi="http://www.w3.org/2001/XMLSchema-instance" xsi:type="dcterms:W3CDTF">2026-09-05T14:32:40Z</dcterms:modified>
  <cp:lastModifiedBy>Kamraj Subramanian</cp:lastModifiedBy>
</cp:coreProperties>
</file>